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Engr Noman Mahmood\Desktop\Phase-1\Traffic Performance Analysis\"/>
    </mc:Choice>
  </mc:AlternateContent>
  <xr:revisionPtr revIDLastSave="0" documentId="13_ncr:1_{0FC39322-3A81-4E6F-AB53-6B7B633D15F3}" xr6:coauthVersionLast="47" xr6:coauthVersionMax="47" xr10:uidLastSave="{00000000-0000-0000-0000-000000000000}"/>
  <bookViews>
    <workbookView xWindow="-120" yWindow="-120" windowWidth="20730" windowHeight="11160" activeTab="1" xr2:uid="{15BDFEBF-468B-4668-A5B0-8B631AD752C3}"/>
  </bookViews>
  <sheets>
    <sheet name="Cleaned Data" sheetId="1" r:id="rId1"/>
    <sheet name="Pivot tables" sheetId="2" r:id="rId2"/>
    <sheet name="DashBoard" sheetId="3" r:id="rId3"/>
  </sheets>
  <definedNames>
    <definedName name="Slicer_Campaign">#N/A</definedName>
    <definedName name="Slicer_Devic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2" i="1"/>
  <c r="V11" i="3"/>
  <c r="V10" i="3"/>
  <c r="V9" i="3"/>
</calcChain>
</file>

<file path=xl/sharedStrings.xml><?xml version="1.0" encoding="utf-8"?>
<sst xmlns="http://schemas.openxmlformats.org/spreadsheetml/2006/main" count="1128" uniqueCount="37">
  <si>
    <t>Date</t>
  </si>
  <si>
    <t>Campaign</t>
  </si>
  <si>
    <t>Device</t>
  </si>
  <si>
    <t>Keyword</t>
  </si>
  <si>
    <t>Impressions</t>
  </si>
  <si>
    <t>Clicks</t>
  </si>
  <si>
    <t>Cost</t>
  </si>
  <si>
    <t>Conversions</t>
  </si>
  <si>
    <t>Revenue</t>
  </si>
  <si>
    <t>Conv. Rate</t>
  </si>
  <si>
    <t>Google_PMax_Apparel</t>
  </si>
  <si>
    <t>Desktop</t>
  </si>
  <si>
    <t>kids educational toys sale</t>
  </si>
  <si>
    <t>Mobile</t>
  </si>
  <si>
    <t>buy summer dress sale</t>
  </si>
  <si>
    <t>Tablet</t>
  </si>
  <si>
    <t>Facebook_Retargeting_Cart</t>
  </si>
  <si>
    <t>discount leather backpack</t>
  </si>
  <si>
    <t>handmade ceramic mug buy now</t>
  </si>
  <si>
    <t>best wireless earbuds deals</t>
  </si>
  <si>
    <t>High_Intent_Search</t>
  </si>
  <si>
    <t>wireless headphones discount</t>
  </si>
  <si>
    <t>best gaming laptop deals</t>
  </si>
  <si>
    <t>4k smart TV discount</t>
  </si>
  <si>
    <t>Holiday_Promo_Video</t>
  </si>
  <si>
    <t>new year party dress</t>
  </si>
  <si>
    <t>christmas decor sale</t>
  </si>
  <si>
    <t>men leather jacket sale</t>
  </si>
  <si>
    <t>organic coffee pods fast shipping</t>
  </si>
  <si>
    <t>holiday gift ideas under 50</t>
  </si>
  <si>
    <t>winter boots discount</t>
  </si>
  <si>
    <t>Row Labels</t>
  </si>
  <si>
    <t>Grand Total</t>
  </si>
  <si>
    <t>Sum of Impressions</t>
  </si>
  <si>
    <t>Sum of Clicks</t>
  </si>
  <si>
    <t>CTR</t>
  </si>
  <si>
    <t>Average of CTR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</si>
</sst>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2" borderId="0" xfId="0" applyNumberFormat="1" applyFill="1"/>
    <xf numFmtId="164" fontId="0" fillId="3" borderId="0" xfId="0" applyNumberFormat="1" applyFill="1"/>
    <xf numFmtId="1" fontId="0" fillId="2" borderId="0" xfId="0" applyNumberFormat="1" applyFill="1"/>
    <xf numFmtId="0" fontId="0" fillId="3" borderId="0" xfId="0" applyNumberFormat="1" applyFill="1"/>
    <xf numFmtId="0" fontId="0" fillId="4" borderId="0" xfId="0" applyNumberFormat="1" applyFill="1"/>
  </cellXfs>
  <cellStyles count="1">
    <cellStyle name="Normal" xfId="0" builtinId="0"/>
  </cellStyles>
  <dxfs count="12">
    <dxf>
      <fill>
        <patternFill patternType="solid">
          <bgColor theme="9" tint="0.39997558519241921"/>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numFmt numFmtId="1" formatCode="0"/>
    </dxf>
    <dxf>
      <numFmt numFmtId="164" formatCode="0.0"/>
      <fill>
        <patternFill patternType="solid">
          <fgColor indexed="64"/>
          <bgColor theme="9" tint="-0.249977111117893"/>
        </patternFill>
      </fill>
    </dxf>
    <dxf>
      <fill>
        <patternFill patternType="solid">
          <bgColor theme="9" tint="0.59999389629810485"/>
        </patternFill>
      </fill>
    </dxf>
    <dxf>
      <fill>
        <patternFill patternType="solid">
          <bgColor theme="9" tint="-0.249977111117893"/>
        </patternFill>
      </fill>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Perfomance Analysis.xlsx]Pivot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Impressions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31052583944248"/>
          <c:y val="0.24754585620891895"/>
          <c:w val="0.59235609557426006"/>
          <c:h val="0.5879275505317858"/>
        </c:manualLayout>
      </c:layout>
      <c:barChart>
        <c:barDir val="bar"/>
        <c:grouping val="clustered"/>
        <c:varyColors val="0"/>
        <c:ser>
          <c:idx val="0"/>
          <c:order val="0"/>
          <c:tx>
            <c:strRef>
              <c:f>'Pivot tables'!$K$4</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tables'!$J$5:$J$9</c:f>
              <c:strCache>
                <c:ptCount val="4"/>
                <c:pt idx="0">
                  <c:v>Facebook_Retargeting_Cart</c:v>
                </c:pt>
                <c:pt idx="1">
                  <c:v>Google_PMax_Apparel</c:v>
                </c:pt>
                <c:pt idx="2">
                  <c:v>High_Intent_Search</c:v>
                </c:pt>
                <c:pt idx="3">
                  <c:v>Holiday_Promo_Video</c:v>
                </c:pt>
              </c:strCache>
            </c:strRef>
          </c:cat>
          <c:val>
            <c:numRef>
              <c:f>'Pivot tables'!$K$5:$K$9</c:f>
              <c:numCache>
                <c:formatCode>General</c:formatCode>
                <c:ptCount val="4"/>
                <c:pt idx="0">
                  <c:v>2399976</c:v>
                </c:pt>
                <c:pt idx="1">
                  <c:v>2295610</c:v>
                </c:pt>
                <c:pt idx="2">
                  <c:v>2427663</c:v>
                </c:pt>
                <c:pt idx="3">
                  <c:v>2305688</c:v>
                </c:pt>
              </c:numCache>
            </c:numRef>
          </c:val>
          <c:extLst>
            <c:ext xmlns:c16="http://schemas.microsoft.com/office/drawing/2014/chart" uri="{C3380CC4-5D6E-409C-BE32-E72D297353CC}">
              <c16:uniqueId val="{00000000-8E56-485C-9759-10E854925E57}"/>
            </c:ext>
          </c:extLst>
        </c:ser>
        <c:dLbls>
          <c:dLblPos val="outEnd"/>
          <c:showLegendKey val="0"/>
          <c:showVal val="1"/>
          <c:showCatName val="0"/>
          <c:showSerName val="0"/>
          <c:showPercent val="0"/>
          <c:showBubbleSize val="0"/>
        </c:dLbls>
        <c:gapWidth val="182"/>
        <c:axId val="779070895"/>
        <c:axId val="779070479"/>
      </c:barChart>
      <c:catAx>
        <c:axId val="77907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79070479"/>
        <c:crosses val="autoZero"/>
        <c:auto val="1"/>
        <c:lblAlgn val="ctr"/>
        <c:lblOffset val="100"/>
        <c:noMultiLvlLbl val="0"/>
      </c:catAx>
      <c:valAx>
        <c:axId val="77907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7907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Perfomance Analysis.xlsx]Pivot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CTR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tables'!$J$14:$J$18</c:f>
              <c:strCache>
                <c:ptCount val="4"/>
                <c:pt idx="0">
                  <c:v>Facebook_Retargeting_Cart</c:v>
                </c:pt>
                <c:pt idx="1">
                  <c:v>Google_PMax_Apparel</c:v>
                </c:pt>
                <c:pt idx="2">
                  <c:v>High_Intent_Search</c:v>
                </c:pt>
                <c:pt idx="3">
                  <c:v>Holiday_Promo_Video</c:v>
                </c:pt>
              </c:strCache>
            </c:strRef>
          </c:cat>
          <c:val>
            <c:numRef>
              <c:f>'Pivot tables'!$K$14:$K$18</c:f>
              <c:numCache>
                <c:formatCode>0.0</c:formatCode>
                <c:ptCount val="4"/>
                <c:pt idx="0">
                  <c:v>3.4757504842146352</c:v>
                </c:pt>
                <c:pt idx="1">
                  <c:v>3.5352239906761231</c:v>
                </c:pt>
                <c:pt idx="2">
                  <c:v>3.4837240813460615</c:v>
                </c:pt>
                <c:pt idx="3">
                  <c:v>3.8468193620060296</c:v>
                </c:pt>
              </c:numCache>
            </c:numRef>
          </c:val>
          <c:extLst>
            <c:ext xmlns:c16="http://schemas.microsoft.com/office/drawing/2014/chart" uri="{C3380CC4-5D6E-409C-BE32-E72D297353CC}">
              <c16:uniqueId val="{00000000-C096-420A-80A3-92A8F4E53E7A}"/>
            </c:ext>
          </c:extLst>
        </c:ser>
        <c:dLbls>
          <c:dLblPos val="outEnd"/>
          <c:showLegendKey val="0"/>
          <c:showVal val="1"/>
          <c:showCatName val="0"/>
          <c:showSerName val="0"/>
          <c:showPercent val="0"/>
          <c:showBubbleSize val="0"/>
        </c:dLbls>
        <c:gapWidth val="219"/>
        <c:overlap val="-27"/>
        <c:axId val="783018927"/>
        <c:axId val="783004367"/>
      </c:barChart>
      <c:catAx>
        <c:axId val="7830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Arial Narrow" panose="020B0606020202030204" pitchFamily="34" charset="0"/>
                <a:ea typeface="+mn-ea"/>
                <a:cs typeface="+mn-cs"/>
              </a:defRPr>
            </a:pPr>
            <a:endParaRPr lang="en-PK"/>
          </a:p>
        </c:txPr>
        <c:crossAx val="783004367"/>
        <c:crosses val="autoZero"/>
        <c:auto val="1"/>
        <c:lblAlgn val="ctr"/>
        <c:lblOffset val="100"/>
        <c:noMultiLvlLbl val="0"/>
      </c:catAx>
      <c:valAx>
        <c:axId val="7830043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8301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Perfomance Analysis.xlsx]Pivot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CTR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tables'!$J$22:$J$25</c:f>
              <c:strCache>
                <c:ptCount val="3"/>
                <c:pt idx="0">
                  <c:v>Desktop</c:v>
                </c:pt>
                <c:pt idx="1">
                  <c:v>Mobile</c:v>
                </c:pt>
                <c:pt idx="2">
                  <c:v>Tablet</c:v>
                </c:pt>
              </c:strCache>
            </c:strRef>
          </c:cat>
          <c:val>
            <c:numRef>
              <c:f>'Pivot tables'!$K$22:$K$25</c:f>
              <c:numCache>
                <c:formatCode>0.0</c:formatCode>
                <c:ptCount val="3"/>
                <c:pt idx="0">
                  <c:v>3.3835292219296624</c:v>
                </c:pt>
                <c:pt idx="1">
                  <c:v>3.9132595363794223</c:v>
                </c:pt>
                <c:pt idx="2">
                  <c:v>3.4593496803730526</c:v>
                </c:pt>
              </c:numCache>
            </c:numRef>
          </c:val>
          <c:extLst>
            <c:ext xmlns:c16="http://schemas.microsoft.com/office/drawing/2014/chart" uri="{C3380CC4-5D6E-409C-BE32-E72D297353CC}">
              <c16:uniqueId val="{00000000-378D-4423-9BBE-B9B18EB22675}"/>
            </c:ext>
          </c:extLst>
        </c:ser>
        <c:dLbls>
          <c:dLblPos val="outEnd"/>
          <c:showLegendKey val="0"/>
          <c:showVal val="1"/>
          <c:showCatName val="0"/>
          <c:showSerName val="0"/>
          <c:showPercent val="0"/>
          <c:showBubbleSize val="0"/>
        </c:dLbls>
        <c:gapWidth val="182"/>
        <c:axId val="783006031"/>
        <c:axId val="783008527"/>
      </c:barChart>
      <c:catAx>
        <c:axId val="78300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83008527"/>
        <c:crosses val="autoZero"/>
        <c:auto val="1"/>
        <c:lblAlgn val="ctr"/>
        <c:lblOffset val="100"/>
        <c:noMultiLvlLbl val="0"/>
      </c:catAx>
      <c:valAx>
        <c:axId val="7830085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78300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66675</xdr:colOff>
      <xdr:row>3</xdr:row>
      <xdr:rowOff>28574</xdr:rowOff>
    </xdr:from>
    <xdr:to>
      <xdr:col>7</xdr:col>
      <xdr:colOff>219075</xdr:colOff>
      <xdr:row>20</xdr:row>
      <xdr:rowOff>66675</xdr:rowOff>
    </xdr:to>
    <xdr:graphicFrame macro="">
      <xdr:nvGraphicFramePr>
        <xdr:cNvPr id="2" name="Chart 1">
          <a:extLst>
            <a:ext uri="{FF2B5EF4-FFF2-40B4-BE49-F238E27FC236}">
              <a16:creationId xmlns:a16="http://schemas.microsoft.com/office/drawing/2014/main" id="{7A11559A-F8A8-477D-8286-86D7CAA12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323849</xdr:colOff>
      <xdr:row>0</xdr:row>
      <xdr:rowOff>47626</xdr:rowOff>
    </xdr:from>
    <xdr:to>
      <xdr:col>15</xdr:col>
      <xdr:colOff>352424</xdr:colOff>
      <xdr:row>10</xdr:row>
      <xdr:rowOff>123825</xdr:rowOff>
    </xdr:to>
    <xdr:graphicFrame macro="">
      <xdr:nvGraphicFramePr>
        <xdr:cNvPr id="3" name="Chart 2">
          <a:extLst>
            <a:ext uri="{FF2B5EF4-FFF2-40B4-BE49-F238E27FC236}">
              <a16:creationId xmlns:a16="http://schemas.microsoft.com/office/drawing/2014/main" id="{709F6FEC-8FB5-4480-81E4-AD5ED8EE0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333374</xdr:colOff>
      <xdr:row>10</xdr:row>
      <xdr:rowOff>171450</xdr:rowOff>
    </xdr:from>
    <xdr:to>
      <xdr:col>15</xdr:col>
      <xdr:colOff>371475</xdr:colOff>
      <xdr:row>20</xdr:row>
      <xdr:rowOff>57150</xdr:rowOff>
    </xdr:to>
    <xdr:graphicFrame macro="">
      <xdr:nvGraphicFramePr>
        <xdr:cNvPr id="4" name="Chart 3">
          <a:extLst>
            <a:ext uri="{FF2B5EF4-FFF2-40B4-BE49-F238E27FC236}">
              <a16:creationId xmlns:a16="http://schemas.microsoft.com/office/drawing/2014/main" id="{544C6F2C-5EB1-48A8-B51C-D0DEEB234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0</xdr:row>
      <xdr:rowOff>47625</xdr:rowOff>
    </xdr:from>
    <xdr:to>
      <xdr:col>7</xdr:col>
      <xdr:colOff>285750</xdr:colOff>
      <xdr:row>2</xdr:row>
      <xdr:rowOff>142875</xdr:rowOff>
    </xdr:to>
    <xdr:grpSp>
      <xdr:nvGrpSpPr>
        <xdr:cNvPr id="28" name="Group 27">
          <a:extLst>
            <a:ext uri="{FF2B5EF4-FFF2-40B4-BE49-F238E27FC236}">
              <a16:creationId xmlns:a16="http://schemas.microsoft.com/office/drawing/2014/main" id="{BC6F22CC-7738-4AF0-84D0-5A0D70E3B1DC}"/>
            </a:ext>
          </a:extLst>
        </xdr:cNvPr>
        <xdr:cNvGrpSpPr/>
      </xdr:nvGrpSpPr>
      <xdr:grpSpPr>
        <a:xfrm>
          <a:off x="38100" y="47625"/>
          <a:ext cx="4514850" cy="476250"/>
          <a:chOff x="428625" y="104775"/>
          <a:chExt cx="4514850" cy="476250"/>
        </a:xfrm>
      </xdr:grpSpPr>
      <xdr:grpSp>
        <xdr:nvGrpSpPr>
          <xdr:cNvPr id="17" name="Group 16">
            <a:extLst>
              <a:ext uri="{FF2B5EF4-FFF2-40B4-BE49-F238E27FC236}">
                <a16:creationId xmlns:a16="http://schemas.microsoft.com/office/drawing/2014/main" id="{4D7C6CB7-E0F9-4EB4-9049-94033340CB80}"/>
              </a:ext>
            </a:extLst>
          </xdr:cNvPr>
          <xdr:cNvGrpSpPr/>
        </xdr:nvGrpSpPr>
        <xdr:grpSpPr>
          <a:xfrm>
            <a:off x="1600199" y="114300"/>
            <a:ext cx="1085851" cy="457200"/>
            <a:chOff x="2085974" y="142875"/>
            <a:chExt cx="1085851" cy="457200"/>
          </a:xfrm>
        </xdr:grpSpPr>
        <xdr:sp macro="" textlink="">
          <xdr:nvSpPr>
            <xdr:cNvPr id="6" name="Rectangle: Rounded Corners 5">
              <a:extLst>
                <a:ext uri="{FF2B5EF4-FFF2-40B4-BE49-F238E27FC236}">
                  <a16:creationId xmlns:a16="http://schemas.microsoft.com/office/drawing/2014/main" id="{39B89978-B8A7-41A4-ACA4-F3FC47CC556F}"/>
                </a:ext>
              </a:extLst>
            </xdr:cNvPr>
            <xdr:cNvSpPr/>
          </xdr:nvSpPr>
          <xdr:spPr>
            <a:xfrm>
              <a:off x="2085974" y="142875"/>
              <a:ext cx="1085851"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7" name="TextBox 6">
              <a:extLst>
                <a:ext uri="{FF2B5EF4-FFF2-40B4-BE49-F238E27FC236}">
                  <a16:creationId xmlns:a16="http://schemas.microsoft.com/office/drawing/2014/main" id="{79D3FE6F-8F04-4626-883D-F9E011EC5BFC}"/>
                </a:ext>
              </a:extLst>
            </xdr:cNvPr>
            <xdr:cNvSpPr txBox="1"/>
          </xdr:nvSpPr>
          <xdr:spPr>
            <a:xfrm>
              <a:off x="2152650" y="171450"/>
              <a:ext cx="100012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Total Impression</a:t>
              </a:r>
              <a:endParaRPr lang="en-PK" sz="900" b="1"/>
            </a:p>
          </xdr:txBody>
        </xdr:sp>
      </xdr:grpSp>
      <xdr:grpSp>
        <xdr:nvGrpSpPr>
          <xdr:cNvPr id="20" name="Group 19">
            <a:extLst>
              <a:ext uri="{FF2B5EF4-FFF2-40B4-BE49-F238E27FC236}">
                <a16:creationId xmlns:a16="http://schemas.microsoft.com/office/drawing/2014/main" id="{4A16D77A-3B6B-4B40-804B-449FA0D8C9B8}"/>
              </a:ext>
            </a:extLst>
          </xdr:cNvPr>
          <xdr:cNvGrpSpPr/>
        </xdr:nvGrpSpPr>
        <xdr:grpSpPr>
          <a:xfrm>
            <a:off x="1638300" y="104775"/>
            <a:ext cx="2171700" cy="466725"/>
            <a:chOff x="2200275" y="142875"/>
            <a:chExt cx="2171700" cy="466725"/>
          </a:xfrm>
        </xdr:grpSpPr>
        <xdr:sp macro="" textlink="">
          <xdr:nvSpPr>
            <xdr:cNvPr id="9" name="Rectangle: Rounded Corners 8">
              <a:extLst>
                <a:ext uri="{FF2B5EF4-FFF2-40B4-BE49-F238E27FC236}">
                  <a16:creationId xmlns:a16="http://schemas.microsoft.com/office/drawing/2014/main" id="{65B2B7B5-7D0D-44F9-8C7A-715124889ACF}"/>
                </a:ext>
              </a:extLst>
            </xdr:cNvPr>
            <xdr:cNvSpPr/>
          </xdr:nvSpPr>
          <xdr:spPr>
            <a:xfrm>
              <a:off x="3286124" y="152400"/>
              <a:ext cx="1085851"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11" name="TextBox 10">
              <a:extLst>
                <a:ext uri="{FF2B5EF4-FFF2-40B4-BE49-F238E27FC236}">
                  <a16:creationId xmlns:a16="http://schemas.microsoft.com/office/drawing/2014/main" id="{DE603D82-C899-4D03-A4F9-5D0D0507B02C}"/>
                </a:ext>
              </a:extLst>
            </xdr:cNvPr>
            <xdr:cNvSpPr txBox="1"/>
          </xdr:nvSpPr>
          <xdr:spPr>
            <a:xfrm>
              <a:off x="3314700" y="142875"/>
              <a:ext cx="1000125"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Total Clicks </a:t>
              </a:r>
              <a:endParaRPr lang="en-PK" sz="900" b="1"/>
            </a:p>
          </xdr:txBody>
        </xdr:sp>
        <xdr:sp macro="" textlink="$V$10">
          <xdr:nvSpPr>
            <xdr:cNvPr id="12" name="TextBox 11">
              <a:extLst>
                <a:ext uri="{FF2B5EF4-FFF2-40B4-BE49-F238E27FC236}">
                  <a16:creationId xmlns:a16="http://schemas.microsoft.com/office/drawing/2014/main" id="{DEEA73E4-BED3-4E08-9B53-C1B9AC76526F}"/>
                </a:ext>
              </a:extLst>
            </xdr:cNvPr>
            <xdr:cNvSpPr txBox="1"/>
          </xdr:nvSpPr>
          <xdr:spPr>
            <a:xfrm>
              <a:off x="3295650" y="314324"/>
              <a:ext cx="10001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DADA2E-748A-46B6-90AE-5C90FFEB80C2}" type="TxLink">
                <a:rPr lang="en-US" sz="1100" b="0" i="0" u="none" strike="noStrike">
                  <a:solidFill>
                    <a:schemeClr val="bg1"/>
                  </a:solidFill>
                  <a:latin typeface="Calibri"/>
                  <a:cs typeface="Calibri"/>
                </a:rPr>
                <a:pPr algn="ctr"/>
                <a:t>334816</a:t>
              </a:fld>
              <a:endParaRPr lang="en-PK" sz="1100">
                <a:solidFill>
                  <a:schemeClr val="bg1"/>
                </a:solidFill>
              </a:endParaRPr>
            </a:p>
          </xdr:txBody>
        </xdr:sp>
        <xdr:sp macro="" textlink="$V$9">
          <xdr:nvSpPr>
            <xdr:cNvPr id="30" name="TextBox 29">
              <a:extLst>
                <a:ext uri="{FF2B5EF4-FFF2-40B4-BE49-F238E27FC236}">
                  <a16:creationId xmlns:a16="http://schemas.microsoft.com/office/drawing/2014/main" id="{818AB39D-D18F-4D2B-839F-B78A69381CB4}"/>
                </a:ext>
              </a:extLst>
            </xdr:cNvPr>
            <xdr:cNvSpPr txBox="1"/>
          </xdr:nvSpPr>
          <xdr:spPr>
            <a:xfrm>
              <a:off x="2200275" y="323849"/>
              <a:ext cx="1000125"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05A718-7A69-4C68-9392-936FDA41300E}" type="TxLink">
                <a:rPr lang="en-US" sz="1100" b="0" i="0" u="none" strike="noStrike">
                  <a:solidFill>
                    <a:schemeClr val="bg1"/>
                  </a:solidFill>
                  <a:latin typeface="Calibri"/>
                  <a:cs typeface="Calibri"/>
                </a:rPr>
                <a:pPr algn="ctr"/>
                <a:t>9428937</a:t>
              </a:fld>
              <a:endParaRPr lang="en-US" sz="1100" b="0" i="0" u="none" strike="noStrike">
                <a:solidFill>
                  <a:schemeClr val="bg1"/>
                </a:solidFill>
                <a:latin typeface="Calibri"/>
                <a:cs typeface="Calibri"/>
              </a:endParaRPr>
            </a:p>
          </xdr:txBody>
        </xdr:sp>
      </xdr:grpSp>
      <xdr:grpSp>
        <xdr:nvGrpSpPr>
          <xdr:cNvPr id="19" name="Group 18">
            <a:extLst>
              <a:ext uri="{FF2B5EF4-FFF2-40B4-BE49-F238E27FC236}">
                <a16:creationId xmlns:a16="http://schemas.microsoft.com/office/drawing/2014/main" id="{429A75C4-1790-4589-9B8B-37B9F86ED2BE}"/>
              </a:ext>
            </a:extLst>
          </xdr:cNvPr>
          <xdr:cNvGrpSpPr/>
        </xdr:nvGrpSpPr>
        <xdr:grpSpPr>
          <a:xfrm>
            <a:off x="3857624" y="123825"/>
            <a:ext cx="1085851" cy="457200"/>
            <a:chOff x="4486274" y="161925"/>
            <a:chExt cx="1085851" cy="457200"/>
          </a:xfrm>
        </xdr:grpSpPr>
        <xdr:sp macro="" textlink="">
          <xdr:nvSpPr>
            <xdr:cNvPr id="10" name="Rectangle: Rounded Corners 9">
              <a:extLst>
                <a:ext uri="{FF2B5EF4-FFF2-40B4-BE49-F238E27FC236}">
                  <a16:creationId xmlns:a16="http://schemas.microsoft.com/office/drawing/2014/main" id="{5F6040CC-0671-4A21-9242-6E21EC80DBE2}"/>
                </a:ext>
              </a:extLst>
            </xdr:cNvPr>
            <xdr:cNvSpPr/>
          </xdr:nvSpPr>
          <xdr:spPr>
            <a:xfrm>
              <a:off x="4486274" y="161925"/>
              <a:ext cx="1085851" cy="457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V$11">
          <xdr:nvSpPr>
            <xdr:cNvPr id="13" name="TextBox 12">
              <a:extLst>
                <a:ext uri="{FF2B5EF4-FFF2-40B4-BE49-F238E27FC236}">
                  <a16:creationId xmlns:a16="http://schemas.microsoft.com/office/drawing/2014/main" id="{3DB7FFCD-F913-491F-9BF0-5FF96CA86421}"/>
                </a:ext>
              </a:extLst>
            </xdr:cNvPr>
            <xdr:cNvSpPr txBox="1"/>
          </xdr:nvSpPr>
          <xdr:spPr>
            <a:xfrm>
              <a:off x="4514850" y="333375"/>
              <a:ext cx="100012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5DC194-40CD-438C-8114-60504B97014A}" type="TxLink">
                <a:rPr lang="en-US" sz="1100" b="0" i="0" u="none" strike="noStrike">
                  <a:solidFill>
                    <a:schemeClr val="bg1"/>
                  </a:solidFill>
                  <a:latin typeface="Calibri"/>
                  <a:cs typeface="Calibri"/>
                </a:rPr>
                <a:pPr algn="ctr"/>
                <a:t>3.6</a:t>
              </a:fld>
              <a:endParaRPr lang="en-US" sz="1100">
                <a:solidFill>
                  <a:schemeClr val="bg1"/>
                </a:solidFill>
              </a:endParaRPr>
            </a:p>
          </xdr:txBody>
        </xdr:sp>
        <xdr:sp macro="" textlink="">
          <xdr:nvSpPr>
            <xdr:cNvPr id="14" name="TextBox 13">
              <a:extLst>
                <a:ext uri="{FF2B5EF4-FFF2-40B4-BE49-F238E27FC236}">
                  <a16:creationId xmlns:a16="http://schemas.microsoft.com/office/drawing/2014/main" id="{C84FD7BF-4777-4667-9C60-FED52BC772DB}"/>
                </a:ext>
              </a:extLst>
            </xdr:cNvPr>
            <xdr:cNvSpPr txBox="1"/>
          </xdr:nvSpPr>
          <xdr:spPr>
            <a:xfrm>
              <a:off x="4524375" y="171450"/>
              <a:ext cx="100012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Avg CTR</a:t>
              </a:r>
              <a:endParaRPr lang="en-PK" sz="900" b="1"/>
            </a:p>
          </xdr:txBody>
        </xdr:sp>
      </xdr:grpSp>
      <xdr:grpSp>
        <xdr:nvGrpSpPr>
          <xdr:cNvPr id="25" name="Group 24">
            <a:extLst>
              <a:ext uri="{FF2B5EF4-FFF2-40B4-BE49-F238E27FC236}">
                <a16:creationId xmlns:a16="http://schemas.microsoft.com/office/drawing/2014/main" id="{80C70A77-2662-4193-B6B7-91BC9F64DF81}"/>
              </a:ext>
            </a:extLst>
          </xdr:cNvPr>
          <xdr:cNvGrpSpPr/>
        </xdr:nvGrpSpPr>
        <xdr:grpSpPr>
          <a:xfrm>
            <a:off x="428625" y="114300"/>
            <a:ext cx="1123950" cy="466725"/>
            <a:chOff x="428625" y="114300"/>
            <a:chExt cx="1123950" cy="466725"/>
          </a:xfrm>
        </xdr:grpSpPr>
        <xdr:sp macro="" textlink="">
          <xdr:nvSpPr>
            <xdr:cNvPr id="21" name="Rectangle: Rounded Corners 20">
              <a:extLst>
                <a:ext uri="{FF2B5EF4-FFF2-40B4-BE49-F238E27FC236}">
                  <a16:creationId xmlns:a16="http://schemas.microsoft.com/office/drawing/2014/main" id="{BCADD9FE-903A-498C-B19C-06060F2F93A6}"/>
                </a:ext>
              </a:extLst>
            </xdr:cNvPr>
            <xdr:cNvSpPr/>
          </xdr:nvSpPr>
          <xdr:spPr>
            <a:xfrm>
              <a:off x="428625" y="114300"/>
              <a:ext cx="11239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sp macro="" textlink="">
          <xdr:nvSpPr>
            <xdr:cNvPr id="22" name="TextBox 21">
              <a:extLst>
                <a:ext uri="{FF2B5EF4-FFF2-40B4-BE49-F238E27FC236}">
                  <a16:creationId xmlns:a16="http://schemas.microsoft.com/office/drawing/2014/main" id="{3AD2DABD-E929-4936-A1E9-8EDAE1CD53F4}"/>
                </a:ext>
              </a:extLst>
            </xdr:cNvPr>
            <xdr:cNvSpPr txBox="1"/>
          </xdr:nvSpPr>
          <xdr:spPr>
            <a:xfrm>
              <a:off x="542926" y="219075"/>
              <a:ext cx="876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30 Days</a:t>
              </a:r>
              <a:endParaRPr lang="en-PK" sz="1100" b="1">
                <a:solidFill>
                  <a:schemeClr val="bg1"/>
                </a:solidFill>
              </a:endParaRPr>
            </a:p>
          </xdr:txBody>
        </xdr:sp>
      </xdr:grpSp>
    </xdr:grpSp>
    <xdr:clientData/>
  </xdr:twoCellAnchor>
  <xdr:twoCellAnchor editAs="oneCell">
    <xdr:from>
      <xdr:col>15</xdr:col>
      <xdr:colOff>400050</xdr:colOff>
      <xdr:row>0</xdr:row>
      <xdr:rowOff>66676</xdr:rowOff>
    </xdr:from>
    <xdr:to>
      <xdr:col>20</xdr:col>
      <xdr:colOff>342900</xdr:colOff>
      <xdr:row>7</xdr:row>
      <xdr:rowOff>180976</xdr:rowOff>
    </xdr:to>
    <mc:AlternateContent xmlns:mc="http://schemas.openxmlformats.org/markup-compatibility/2006" xmlns:a14="http://schemas.microsoft.com/office/drawing/2010/main">
      <mc:Choice Requires="a14">
        <xdr:graphicFrame macro="">
          <xdr:nvGraphicFramePr>
            <xdr:cNvPr id="29" name="Campaign 1">
              <a:extLst>
                <a:ext uri="{FF2B5EF4-FFF2-40B4-BE49-F238E27FC236}">
                  <a16:creationId xmlns:a16="http://schemas.microsoft.com/office/drawing/2014/main" id="{F38751D4-BE95-4085-B40B-218DA20B909D}"/>
                </a:ext>
              </a:extLst>
            </xdr:cNvPr>
            <xdr:cNvGraphicFramePr/>
          </xdr:nvGraphicFramePr>
          <xdr:xfrm>
            <a:off x="0" y="0"/>
            <a:ext cx="0" cy="0"/>
          </xdr:xfrm>
          <a:graphic>
            <a:graphicData uri="http://schemas.microsoft.com/office/drawing/2010/slicer">
              <sle:slicer xmlns:sle="http://schemas.microsoft.com/office/drawing/2010/slicer" name="Campaign 1"/>
            </a:graphicData>
          </a:graphic>
        </xdr:graphicFrame>
      </mc:Choice>
      <mc:Fallback xmlns="">
        <xdr:sp macro="" textlink="">
          <xdr:nvSpPr>
            <xdr:cNvPr id="0" name=""/>
            <xdr:cNvSpPr>
              <a:spLocks noTextEdit="1"/>
            </xdr:cNvSpPr>
          </xdr:nvSpPr>
          <xdr:spPr>
            <a:xfrm>
              <a:off x="9544050" y="66676"/>
              <a:ext cx="2990850" cy="14478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409575</xdr:colOff>
      <xdr:row>8</xdr:row>
      <xdr:rowOff>47625</xdr:rowOff>
    </xdr:from>
    <xdr:to>
      <xdr:col>20</xdr:col>
      <xdr:colOff>333375</xdr:colOff>
      <xdr:row>14</xdr:row>
      <xdr:rowOff>85725</xdr:rowOff>
    </xdr:to>
    <mc:AlternateContent xmlns:mc="http://schemas.openxmlformats.org/markup-compatibility/2006" xmlns:a14="http://schemas.microsoft.com/office/drawing/2010/main">
      <mc:Choice Requires="a14">
        <xdr:graphicFrame macro="">
          <xdr:nvGraphicFramePr>
            <xdr:cNvPr id="34" name="Device">
              <a:extLst>
                <a:ext uri="{FF2B5EF4-FFF2-40B4-BE49-F238E27FC236}">
                  <a16:creationId xmlns:a16="http://schemas.microsoft.com/office/drawing/2014/main" id="{948F90F2-F501-4452-8ED1-87ABF5BCB1A3}"/>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9553575" y="1571625"/>
              <a:ext cx="2971800" cy="11811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409575</xdr:colOff>
      <xdr:row>14</xdr:row>
      <xdr:rowOff>114300</xdr:rowOff>
    </xdr:from>
    <xdr:to>
      <xdr:col>20</xdr:col>
      <xdr:colOff>323850</xdr:colOff>
      <xdr:row>20</xdr:row>
      <xdr:rowOff>95250</xdr:rowOff>
    </xdr:to>
    <xdr:pic>
      <xdr:nvPicPr>
        <xdr:cNvPr id="36" name="Picture 35">
          <a:extLst>
            <a:ext uri="{FF2B5EF4-FFF2-40B4-BE49-F238E27FC236}">
              <a16:creationId xmlns:a16="http://schemas.microsoft.com/office/drawing/2014/main" id="{C7B6A38C-BA74-4FA2-B04C-1721CC0BCA2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53575" y="2781300"/>
          <a:ext cx="2962275" cy="1123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r Noman Mahmood" refreshedDate="45981.870244907404" createdVersion="7" refreshedVersion="7" minRefreshableVersion="3" recordCount="360" xr:uid="{36A0BEF4-A072-42E3-9D5E-C467A90CC020}">
  <cacheSource type="worksheet">
    <worksheetSource ref="A1:K361" sheet="Cleaned Data"/>
  </cacheSource>
  <cacheFields count="11">
    <cacheField name="Date" numFmtId="14">
      <sharedItems containsSemiMixedTypes="0" containsNonDate="0" containsDate="1" containsString="0" minDate="2024-10-01T00:00:00" maxDate="2024-10-31T00:00:00"/>
    </cacheField>
    <cacheField name="Campaign" numFmtId="0">
      <sharedItems count="4">
        <s v="Google_PMax_Apparel"/>
        <s v="Facebook_Retargeting_Cart"/>
        <s v="High_Intent_Search"/>
        <s v="Holiday_Promo_Video"/>
      </sharedItems>
    </cacheField>
    <cacheField name="Device" numFmtId="0">
      <sharedItems count="3">
        <s v="Desktop"/>
        <s v="Mobile"/>
        <s v="Tablet"/>
      </sharedItems>
    </cacheField>
    <cacheField name="Keyword" numFmtId="0">
      <sharedItems/>
    </cacheField>
    <cacheField name="Impressions" numFmtId="0">
      <sharedItems containsSemiMixedTypes="0" containsString="0" containsNumber="1" containsInteger="1" minValue="2021" maxValue="69501"/>
    </cacheField>
    <cacheField name="Clicks" numFmtId="0">
      <sharedItems containsSemiMixedTypes="0" containsString="0" containsNumber="1" containsInteger="1" minValue="50" maxValue="2997"/>
    </cacheField>
    <cacheField name="Cost" numFmtId="0">
      <sharedItems containsSemiMixedTypes="0" containsString="0" containsNumber="1" minValue="52.86" maxValue="4987.78"/>
    </cacheField>
    <cacheField name="Conversions" numFmtId="0">
      <sharedItems containsSemiMixedTypes="0" containsString="0" containsNumber="1" containsInteger="1" minValue="1" maxValue="246"/>
    </cacheField>
    <cacheField name="Revenue" numFmtId="0">
      <sharedItems containsSemiMixedTypes="0" containsString="0" containsNumber="1" minValue="91.61" maxValue="24254.42"/>
    </cacheField>
    <cacheField name="Conv. Rate" numFmtId="0">
      <sharedItems containsSemiMixedTypes="0" containsString="0" containsNumber="1" minValue="4.1000000000000003E-3" maxValue="0.36"/>
    </cacheField>
    <cacheField name="CTR" numFmtId="164">
      <sharedItems containsSemiMixedTypes="0" containsString="0" containsNumber="1" minValue="0.80450522928399038" maxValue="8.3304998299897992"/>
    </cacheField>
  </cacheFields>
  <extLst>
    <ext xmlns:x14="http://schemas.microsoft.com/office/spreadsheetml/2009/9/main" uri="{725AE2AE-9491-48be-B2B4-4EB974FC3084}">
      <x14:pivotCacheDefinition pivotCacheId="72751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d v="2024-10-01T00:00:00"/>
    <x v="0"/>
    <x v="0"/>
    <s v="kids educational toys sale"/>
    <n v="14176"/>
    <n v="342"/>
    <n v="669.91"/>
    <n v="60"/>
    <n v="3278.77"/>
    <n v="0.1754"/>
    <n v="2.4125282167042887"/>
  </r>
  <r>
    <d v="2024-10-01T00:00:00"/>
    <x v="0"/>
    <x v="1"/>
    <s v="buy summer dress sale"/>
    <n v="58449"/>
    <n v="1430"/>
    <n v="3728.27"/>
    <n v="210"/>
    <n v="5930.25"/>
    <n v="0.1469"/>
    <n v="2.4465773580386321"/>
  </r>
  <r>
    <d v="2024-10-01T00:00:00"/>
    <x v="0"/>
    <x v="2"/>
    <s v="kids educational toys sale"/>
    <n v="7084"/>
    <n v="241"/>
    <n v="104.09"/>
    <n v="8"/>
    <n v="466.9"/>
    <n v="3.32E-2"/>
    <n v="3.402032749858837"/>
  </r>
  <r>
    <d v="2024-10-01T00:00:00"/>
    <x v="1"/>
    <x v="0"/>
    <s v="discount leather backpack"/>
    <n v="23510"/>
    <n v="325"/>
    <n v="515.23"/>
    <n v="31"/>
    <n v="2150.09"/>
    <n v="9.5399999999999999E-2"/>
    <n v="1.3823904721395153"/>
  </r>
  <r>
    <d v="2024-10-01T00:00:00"/>
    <x v="1"/>
    <x v="1"/>
    <s v="handmade ceramic mug buy now"/>
    <n v="51263"/>
    <n v="1546"/>
    <n v="1636.79"/>
    <n v="219"/>
    <n v="2636.48"/>
    <n v="0.14169999999999999"/>
    <n v="3.0158203772701557"/>
  </r>
  <r>
    <d v="2024-10-01T00:00:00"/>
    <x v="1"/>
    <x v="2"/>
    <s v="best wireless earbuds deals"/>
    <n v="5855"/>
    <n v="106"/>
    <n v="119.85"/>
    <n v="15"/>
    <n v="303.06"/>
    <n v="0.14149999999999999"/>
    <n v="1.8104184457728438"/>
  </r>
  <r>
    <d v="2024-10-01T00:00:00"/>
    <x v="2"/>
    <x v="0"/>
    <s v="wireless headphones discount"/>
    <n v="17304"/>
    <n v="324"/>
    <n v="1092.04"/>
    <n v="35"/>
    <n v="2672.65"/>
    <n v="0.108"/>
    <n v="1.872399445214979"/>
  </r>
  <r>
    <d v="2024-10-01T00:00:00"/>
    <x v="2"/>
    <x v="1"/>
    <s v="best gaming laptop deals"/>
    <n v="53292"/>
    <n v="1719"/>
    <n v="3565.93"/>
    <n v="142"/>
    <n v="13486.95"/>
    <n v="8.2600000000000007E-2"/>
    <n v="3.2256248592659311"/>
  </r>
  <r>
    <d v="2024-10-01T00:00:00"/>
    <x v="2"/>
    <x v="2"/>
    <s v="4k smart TV discount"/>
    <n v="2226"/>
    <n v="79"/>
    <n v="356.96"/>
    <n v="9"/>
    <n v="670.57"/>
    <n v="0.1139"/>
    <n v="3.5489667565139262"/>
  </r>
  <r>
    <d v="2024-10-01T00:00:00"/>
    <x v="3"/>
    <x v="0"/>
    <s v="new year party dress"/>
    <n v="11253"/>
    <n v="411"/>
    <n v="1015.89"/>
    <n v="32"/>
    <n v="4031.53"/>
    <n v="7.7899999999999997E-2"/>
    <n v="3.6523593708344437"/>
  </r>
  <r>
    <d v="2024-10-01T00:00:00"/>
    <x v="3"/>
    <x v="1"/>
    <s v="new year party dress"/>
    <n v="63599"/>
    <n v="2241"/>
    <n v="4936.9399999999996"/>
    <n v="69"/>
    <n v="13150.74"/>
    <n v="3.0800000000000001E-2"/>
    <n v="3.5236403088098869"/>
  </r>
  <r>
    <d v="2024-10-01T00:00:00"/>
    <x v="3"/>
    <x v="2"/>
    <s v="christmas decor sale"/>
    <n v="4086"/>
    <n v="61"/>
    <n v="298.07"/>
    <n v="1"/>
    <n v="946.58"/>
    <n v="1.6400000000000001E-2"/>
    <n v="1.49290259422418"/>
  </r>
  <r>
    <d v="2024-10-02T00:00:00"/>
    <x v="0"/>
    <x v="0"/>
    <s v="men leather jacket sale"/>
    <n v="21934"/>
    <n v="741"/>
    <n v="383.97"/>
    <n v="52"/>
    <n v="1804.25"/>
    <n v="7.0199999999999999E-2"/>
    <n v="3.3783167684872799"/>
  </r>
  <r>
    <d v="2024-10-02T00:00:00"/>
    <x v="0"/>
    <x v="1"/>
    <s v="discount leather backpack"/>
    <n v="43167"/>
    <n v="2474"/>
    <n v="4600.1899999999996"/>
    <n v="169"/>
    <n v="10926.75"/>
    <n v="6.83E-2"/>
    <n v="5.7312298746727821"/>
  </r>
  <r>
    <d v="2024-10-02T00:00:00"/>
    <x v="0"/>
    <x v="2"/>
    <s v="kids educational toys sale"/>
    <n v="4672"/>
    <n v="153"/>
    <n v="294.02"/>
    <n v="18"/>
    <n v="495.04"/>
    <n v="0.1176"/>
    <n v="3.2748287671232874"/>
  </r>
  <r>
    <d v="2024-10-02T00:00:00"/>
    <x v="1"/>
    <x v="0"/>
    <s v="handmade ceramic mug buy now"/>
    <n v="22423"/>
    <n v="478"/>
    <n v="1038.6199999999999"/>
    <n v="29"/>
    <n v="2849.02"/>
    <n v="6.0699999999999997E-2"/>
    <n v="2.1317397315256654"/>
  </r>
  <r>
    <d v="2024-10-02T00:00:00"/>
    <x v="1"/>
    <x v="1"/>
    <s v="best wireless earbuds deals"/>
    <n v="54914"/>
    <n v="1587"/>
    <n v="1840.73"/>
    <n v="241"/>
    <n v="6265.74"/>
    <n v="0.15190000000000001"/>
    <n v="2.8899734129730121"/>
  </r>
  <r>
    <d v="2024-10-02T00:00:00"/>
    <x v="1"/>
    <x v="2"/>
    <s v="organic coffee pods fast shipping"/>
    <n v="5809"/>
    <n v="163"/>
    <n v="204.76"/>
    <n v="7"/>
    <n v="643.45000000000005"/>
    <n v="4.2900000000000001E-2"/>
    <n v="2.8059907040798762"/>
  </r>
  <r>
    <d v="2024-10-02T00:00:00"/>
    <x v="2"/>
    <x v="0"/>
    <s v="wireless headphones discount"/>
    <n v="12778"/>
    <n v="590"/>
    <n v="918.54"/>
    <n v="50"/>
    <n v="3263.75"/>
    <n v="8.4699999999999998E-2"/>
    <n v="4.6173110032868996"/>
  </r>
  <r>
    <d v="2024-10-02T00:00:00"/>
    <x v="2"/>
    <x v="1"/>
    <s v="best gaming laptop deals"/>
    <n v="50392"/>
    <n v="2377"/>
    <n v="2241.6799999999998"/>
    <n v="246"/>
    <n v="4386.28"/>
    <n v="0.10349999999999999"/>
    <n v="4.7170185743768851"/>
  </r>
  <r>
    <d v="2024-10-02T00:00:00"/>
    <x v="2"/>
    <x v="2"/>
    <s v="best gaming laptop deals"/>
    <n v="2378"/>
    <n v="112"/>
    <n v="394.38"/>
    <n v="20"/>
    <n v="1746.71"/>
    <n v="0.17860000000000001"/>
    <n v="4.7098402018502945"/>
  </r>
  <r>
    <d v="2024-10-02T00:00:00"/>
    <x v="3"/>
    <x v="0"/>
    <s v="holiday gift ideas under 50"/>
    <n v="24923"/>
    <n v="724"/>
    <n v="1363.36"/>
    <n v="46"/>
    <n v="2643.36"/>
    <n v="6.3500000000000001E-2"/>
    <n v="2.904947237491474"/>
  </r>
  <r>
    <d v="2024-10-02T00:00:00"/>
    <x v="3"/>
    <x v="1"/>
    <s v="winter boots discount"/>
    <n v="67399"/>
    <n v="1818"/>
    <n v="1975.94"/>
    <n v="207"/>
    <n v="7534.19"/>
    <n v="0.1139"/>
    <n v="2.6973693971720647"/>
  </r>
  <r>
    <d v="2024-10-02T00:00:00"/>
    <x v="3"/>
    <x v="2"/>
    <s v="holiday gift ideas under 50"/>
    <n v="5482"/>
    <n v="106"/>
    <n v="111.56"/>
    <n v="17"/>
    <n v="330.81"/>
    <n v="0.16039999999999999"/>
    <n v="1.9336008755928491"/>
  </r>
  <r>
    <d v="2024-10-03T00:00:00"/>
    <x v="0"/>
    <x v="0"/>
    <s v="men leather jacket sale"/>
    <n v="13976"/>
    <n v="767"/>
    <n v="460.01"/>
    <n v="39"/>
    <n v="1718.96"/>
    <n v="5.0799999999999998E-2"/>
    <n v="5.4879793932455634"/>
  </r>
  <r>
    <d v="2024-10-03T00:00:00"/>
    <x v="0"/>
    <x v="1"/>
    <s v="discount leather backpack"/>
    <n v="64004"/>
    <n v="2254"/>
    <n v="4260.03"/>
    <n v="169"/>
    <n v="12020.16"/>
    <n v="7.4999999999999997E-2"/>
    <n v="3.5216548965689647"/>
  </r>
  <r>
    <d v="2024-10-03T00:00:00"/>
    <x v="0"/>
    <x v="2"/>
    <s v="kids educational toys sale"/>
    <n v="3303"/>
    <n v="240"/>
    <n v="351.52"/>
    <n v="15"/>
    <n v="768.05"/>
    <n v="6.25E-2"/>
    <n v="7.266121707538602"/>
  </r>
  <r>
    <d v="2024-10-03T00:00:00"/>
    <x v="1"/>
    <x v="0"/>
    <s v="discount leather backpack"/>
    <n v="19086"/>
    <n v="833"/>
    <n v="881.52"/>
    <n v="25"/>
    <n v="1977.66"/>
    <n v="0.03"/>
    <n v="4.3644556219218273"/>
  </r>
  <r>
    <d v="2024-10-03T00:00:00"/>
    <x v="1"/>
    <x v="1"/>
    <s v="best wireless earbuds deals"/>
    <n v="53725"/>
    <n v="1480"/>
    <n v="2086.86"/>
    <n v="121"/>
    <n v="9586"/>
    <n v="8.1799999999999998E-2"/>
    <n v="2.7547696603071197"/>
  </r>
  <r>
    <d v="2024-10-03T00:00:00"/>
    <x v="1"/>
    <x v="2"/>
    <s v="best wireless earbuds deals"/>
    <n v="3133"/>
    <n v="88"/>
    <n v="130.94"/>
    <n v="5"/>
    <n v="508.62"/>
    <n v="5.6800000000000003E-2"/>
    <n v="2.8088094478135974"/>
  </r>
  <r>
    <d v="2024-10-03T00:00:00"/>
    <x v="2"/>
    <x v="0"/>
    <s v="best gaming laptop deals"/>
    <n v="23594"/>
    <n v="717"/>
    <n v="697.06"/>
    <n v="39"/>
    <n v="1937.79"/>
    <n v="5.4399999999999997E-2"/>
    <n v="3.0389081969992371"/>
  </r>
  <r>
    <d v="2024-10-03T00:00:00"/>
    <x v="2"/>
    <x v="1"/>
    <s v="wireless headphones discount"/>
    <n v="62534"/>
    <n v="1797"/>
    <n v="4619.3500000000004"/>
    <n v="189"/>
    <n v="22149.95"/>
    <n v="0.1052"/>
    <n v="2.8736367416125628"/>
  </r>
  <r>
    <d v="2024-10-03T00:00:00"/>
    <x v="2"/>
    <x v="2"/>
    <s v="best gaming laptop deals"/>
    <n v="6716"/>
    <n v="147"/>
    <n v="216.94"/>
    <n v="12"/>
    <n v="506.5"/>
    <n v="8.1600000000000006E-2"/>
    <n v="2.1888028588445505"/>
  </r>
  <r>
    <d v="2024-10-03T00:00:00"/>
    <x v="3"/>
    <x v="0"/>
    <s v="winter boots discount"/>
    <n v="23730"/>
    <n v="851"/>
    <n v="1197.02"/>
    <n v="44"/>
    <n v="5074.7700000000004"/>
    <n v="5.1700000000000003E-2"/>
    <n v="3.5861778339654449"/>
  </r>
  <r>
    <d v="2024-10-03T00:00:00"/>
    <x v="3"/>
    <x v="1"/>
    <s v="christmas decor sale"/>
    <n v="66996"/>
    <n v="1449"/>
    <n v="2091.7399999999998"/>
    <n v="164"/>
    <n v="2740.8"/>
    <n v="0.1132"/>
    <n v="2.1628156904889844"/>
  </r>
  <r>
    <d v="2024-10-03T00:00:00"/>
    <x v="3"/>
    <x v="2"/>
    <s v="new year party dress"/>
    <n v="7479"/>
    <n v="223"/>
    <n v="329.35"/>
    <n v="6"/>
    <n v="1447.14"/>
    <n v="2.69E-2"/>
    <n v="2.9816820430538842"/>
  </r>
  <r>
    <d v="2024-10-04T00:00:00"/>
    <x v="0"/>
    <x v="0"/>
    <s v="men leather jacket sale"/>
    <n v="27502"/>
    <n v="327"/>
    <n v="1388.31"/>
    <n v="47"/>
    <n v="4643.47"/>
    <n v="0.14369999999999999"/>
    <n v="1.1890044360410152"/>
  </r>
  <r>
    <d v="2024-10-04T00:00:00"/>
    <x v="0"/>
    <x v="1"/>
    <s v="buy summer dress sale"/>
    <n v="40501"/>
    <n v="2316"/>
    <n v="2714.45"/>
    <n v="158"/>
    <n v="5131.8599999999997"/>
    <n v="6.8199999999999997E-2"/>
    <n v="5.7183773240166911"/>
  </r>
  <r>
    <d v="2024-10-04T00:00:00"/>
    <x v="0"/>
    <x v="2"/>
    <s v="discount leather backpack"/>
    <n v="5105"/>
    <n v="133"/>
    <n v="124.08"/>
    <n v="11"/>
    <n v="308.02999999999997"/>
    <n v="8.2699999999999996E-2"/>
    <n v="2.6052889324191968"/>
  </r>
  <r>
    <d v="2024-10-04T00:00:00"/>
    <x v="1"/>
    <x v="0"/>
    <s v="handmade ceramic mug buy now"/>
    <n v="19117"/>
    <n v="731"/>
    <n v="602.73"/>
    <n v="15"/>
    <n v="1800.45"/>
    <n v="2.0500000000000001E-2"/>
    <n v="3.8238217293508394"/>
  </r>
  <r>
    <d v="2024-10-04T00:00:00"/>
    <x v="1"/>
    <x v="1"/>
    <s v="best wireless earbuds deals"/>
    <n v="57935"/>
    <n v="1459"/>
    <n v="3600.58"/>
    <n v="239"/>
    <n v="17418.47"/>
    <n v="0.1638"/>
    <n v="2.5183395184258219"/>
  </r>
  <r>
    <d v="2024-10-04T00:00:00"/>
    <x v="1"/>
    <x v="2"/>
    <s v="best wireless earbuds deals"/>
    <n v="2254"/>
    <n v="113"/>
    <n v="119.78"/>
    <n v="1"/>
    <n v="426.55"/>
    <n v="8.8000000000000005E-3"/>
    <n v="5.0133096716947652"/>
  </r>
  <r>
    <d v="2024-10-04T00:00:00"/>
    <x v="2"/>
    <x v="0"/>
    <s v="wireless headphones discount"/>
    <n v="14136"/>
    <n v="784"/>
    <n v="1103.3499999999999"/>
    <n v="46"/>
    <n v="5297.71"/>
    <n v="5.8700000000000002E-2"/>
    <n v="5.5461233729485002"/>
  </r>
  <r>
    <d v="2024-10-04T00:00:00"/>
    <x v="2"/>
    <x v="1"/>
    <s v="men leather jacket sale"/>
    <n v="51793"/>
    <n v="2570"/>
    <n v="2475.58"/>
    <n v="195"/>
    <n v="8683.2000000000007"/>
    <n v="7.5899999999999995E-2"/>
    <n v="4.9620605101075439"/>
  </r>
  <r>
    <d v="2024-10-04T00:00:00"/>
    <x v="2"/>
    <x v="2"/>
    <s v="best gaming laptop deals"/>
    <n v="3341"/>
    <n v="129"/>
    <n v="87.83"/>
    <n v="1"/>
    <n v="415.42"/>
    <n v="7.7999999999999996E-3"/>
    <n v="3.86111942532176"/>
  </r>
  <r>
    <d v="2024-10-04T00:00:00"/>
    <x v="3"/>
    <x v="0"/>
    <s v="winter boots discount"/>
    <n v="22997"/>
    <n v="503"/>
    <n v="391.2"/>
    <n v="54"/>
    <n v="1704.13"/>
    <n v="0.1074"/>
    <n v="2.1872418141496719"/>
  </r>
  <r>
    <d v="2024-10-04T00:00:00"/>
    <x v="3"/>
    <x v="1"/>
    <s v="christmas decor sale"/>
    <n v="41678"/>
    <n v="2427"/>
    <n v="4089.92"/>
    <n v="215"/>
    <n v="14239.32"/>
    <n v="8.8599999999999998E-2"/>
    <n v="5.8232160852248187"/>
  </r>
  <r>
    <d v="2024-10-04T00:00:00"/>
    <x v="3"/>
    <x v="2"/>
    <s v="holiday gift ideas under 50"/>
    <n v="6636"/>
    <n v="250"/>
    <n v="64.37"/>
    <n v="18"/>
    <n v="182.03"/>
    <n v="7.1999999999999995E-2"/>
    <n v="3.7673297166968052"/>
  </r>
  <r>
    <d v="2024-10-05T00:00:00"/>
    <x v="0"/>
    <x v="0"/>
    <s v="discount leather backpack"/>
    <n v="12259"/>
    <n v="818"/>
    <n v="1077.05"/>
    <n v="10"/>
    <n v="4769.59"/>
    <n v="1.2200000000000001E-2"/>
    <n v="6.6726486662859932"/>
  </r>
  <r>
    <d v="2024-10-05T00:00:00"/>
    <x v="0"/>
    <x v="1"/>
    <s v="kids educational toys sale"/>
    <n v="41916"/>
    <n v="1887"/>
    <n v="4843.1499999999996"/>
    <n v="202"/>
    <n v="22220.3"/>
    <n v="0.107"/>
    <n v="4.5018608645863161"/>
  </r>
  <r>
    <d v="2024-10-05T00:00:00"/>
    <x v="0"/>
    <x v="2"/>
    <s v="kids educational toys sale"/>
    <n v="7794"/>
    <n v="89"/>
    <n v="202.42"/>
    <n v="17"/>
    <n v="985.54"/>
    <n v="0.191"/>
    <n v="1.1419040287400566"/>
  </r>
  <r>
    <d v="2024-10-05T00:00:00"/>
    <x v="1"/>
    <x v="0"/>
    <s v="organic coffee pods fast shipping"/>
    <n v="27634"/>
    <n v="795"/>
    <n v="857.85"/>
    <n v="56"/>
    <n v="2960.79"/>
    <n v="7.0400000000000004E-2"/>
    <n v="2.8768907867120217"/>
  </r>
  <r>
    <d v="2024-10-05T00:00:00"/>
    <x v="1"/>
    <x v="1"/>
    <s v="organic coffee pods fast shipping"/>
    <n v="51088"/>
    <n v="2701"/>
    <n v="4738.49"/>
    <n v="111"/>
    <n v="21561.07"/>
    <n v="4.1099999999999998E-2"/>
    <n v="5.2869558409019728"/>
  </r>
  <r>
    <d v="2024-10-05T00:00:00"/>
    <x v="1"/>
    <x v="2"/>
    <s v="discount leather backpack"/>
    <n v="5806"/>
    <n v="195"/>
    <n v="263.62"/>
    <n v="13"/>
    <n v="653.33000000000004"/>
    <n v="6.6699999999999995E-2"/>
    <n v="3.3585945573544604"/>
  </r>
  <r>
    <d v="2024-10-05T00:00:00"/>
    <x v="2"/>
    <x v="0"/>
    <s v="men leather jacket sale"/>
    <n v="20650"/>
    <n v="486"/>
    <n v="885.06"/>
    <n v="32"/>
    <n v="3745.36"/>
    <n v="6.5799999999999997E-2"/>
    <n v="2.3535108958837774"/>
  </r>
  <r>
    <d v="2024-10-05T00:00:00"/>
    <x v="2"/>
    <x v="1"/>
    <s v="4k smart TV discount"/>
    <n v="53327"/>
    <n v="2802"/>
    <n v="3384.62"/>
    <n v="110"/>
    <n v="11209.88"/>
    <n v="3.9300000000000002E-2"/>
    <n v="5.2543739569073828"/>
  </r>
  <r>
    <d v="2024-10-05T00:00:00"/>
    <x v="2"/>
    <x v="2"/>
    <s v="wireless headphones discount"/>
    <n v="2701"/>
    <n v="111"/>
    <n v="302.02999999999997"/>
    <n v="16"/>
    <n v="999.62"/>
    <n v="0.14410000000000001"/>
    <n v="4.10958904109589"/>
  </r>
  <r>
    <d v="2024-10-05T00:00:00"/>
    <x v="3"/>
    <x v="0"/>
    <s v="christmas decor sale"/>
    <n v="25600"/>
    <n v="802"/>
    <n v="837.81"/>
    <n v="11"/>
    <n v="1301.6199999999999"/>
    <n v="1.37E-2"/>
    <n v="3.1328125"/>
  </r>
  <r>
    <d v="2024-10-05T00:00:00"/>
    <x v="3"/>
    <x v="1"/>
    <s v="christmas decor sale"/>
    <n v="61502"/>
    <n v="2416"/>
    <n v="1973.22"/>
    <n v="209"/>
    <n v="6728.51"/>
    <n v="8.6499999999999994E-2"/>
    <n v="3.928327534063933"/>
  </r>
  <r>
    <d v="2024-10-05T00:00:00"/>
    <x v="3"/>
    <x v="2"/>
    <s v="winter boots discount"/>
    <n v="6534"/>
    <n v="185"/>
    <n v="170.32"/>
    <n v="18"/>
    <n v="418.48"/>
    <n v="9.7299999999999998E-2"/>
    <n v="2.8313437404346495"/>
  </r>
  <r>
    <d v="2024-10-06T00:00:00"/>
    <x v="0"/>
    <x v="0"/>
    <s v="kids educational toys sale"/>
    <n v="18877"/>
    <n v="613"/>
    <n v="601.67999999999995"/>
    <n v="17"/>
    <n v="2371.15"/>
    <n v="2.7699999999999999E-2"/>
    <n v="3.247338030407374"/>
  </r>
  <r>
    <d v="2024-10-06T00:00:00"/>
    <x v="0"/>
    <x v="1"/>
    <s v="discount leather backpack"/>
    <n v="42835"/>
    <n v="2521"/>
    <n v="3143.46"/>
    <n v="235"/>
    <n v="12016.26"/>
    <n v="9.3200000000000005E-2"/>
    <n v="5.8853741099568113"/>
  </r>
  <r>
    <d v="2024-10-06T00:00:00"/>
    <x v="0"/>
    <x v="2"/>
    <s v="men leather jacket sale"/>
    <n v="3772"/>
    <n v="239"/>
    <n v="219.47"/>
    <n v="19"/>
    <n v="1077.8399999999999"/>
    <n v="7.9500000000000001E-2"/>
    <n v="6.336161187698834"/>
  </r>
  <r>
    <d v="2024-10-06T00:00:00"/>
    <x v="1"/>
    <x v="0"/>
    <s v="organic coffee pods fast shipping"/>
    <n v="13294"/>
    <n v="498"/>
    <n v="655.5"/>
    <n v="33"/>
    <n v="1233.57"/>
    <n v="6.6299999999999998E-2"/>
    <n v="3.746050850007522"/>
  </r>
  <r>
    <d v="2024-10-06T00:00:00"/>
    <x v="1"/>
    <x v="1"/>
    <s v="best wireless earbuds deals"/>
    <n v="43295"/>
    <n v="1561"/>
    <n v="1182.06"/>
    <n v="53"/>
    <n v="3904.07"/>
    <n v="3.4000000000000002E-2"/>
    <n v="3.6054971705739693"/>
  </r>
  <r>
    <d v="2024-10-06T00:00:00"/>
    <x v="1"/>
    <x v="2"/>
    <s v="discount leather backpack"/>
    <n v="7225"/>
    <n v="242"/>
    <n v="221.81"/>
    <n v="1"/>
    <n v="750.04"/>
    <n v="4.1000000000000003E-3"/>
    <n v="3.3494809688581317"/>
  </r>
  <r>
    <d v="2024-10-06T00:00:00"/>
    <x v="2"/>
    <x v="0"/>
    <s v="men leather jacket sale"/>
    <n v="25686"/>
    <n v="751"/>
    <n v="708.85"/>
    <n v="13"/>
    <n v="1530.7"/>
    <n v="1.7299999999999999E-2"/>
    <n v="2.923771704430429"/>
  </r>
  <r>
    <d v="2024-10-06T00:00:00"/>
    <x v="2"/>
    <x v="1"/>
    <s v="men leather jacket sale"/>
    <n v="42476"/>
    <n v="2683"/>
    <n v="1261.3699999999999"/>
    <n v="165"/>
    <n v="1868.74"/>
    <n v="6.1499999999999999E-2"/>
    <n v="6.3165081457764378"/>
  </r>
  <r>
    <d v="2024-10-06T00:00:00"/>
    <x v="2"/>
    <x v="2"/>
    <s v="best gaming laptop deals"/>
    <n v="3242"/>
    <n v="88"/>
    <n v="333.9"/>
    <n v="10"/>
    <n v="508.76"/>
    <n v="0.11360000000000001"/>
    <n v="2.7143738433066007"/>
  </r>
  <r>
    <d v="2024-10-06T00:00:00"/>
    <x v="3"/>
    <x v="0"/>
    <s v="christmas decor sale"/>
    <n v="13881"/>
    <n v="871"/>
    <n v="1217.33"/>
    <n v="48"/>
    <n v="4218.3900000000003"/>
    <n v="5.5100000000000003E-2"/>
    <n v="6.2747640659894826"/>
  </r>
  <r>
    <d v="2024-10-06T00:00:00"/>
    <x v="3"/>
    <x v="1"/>
    <s v="christmas decor sale"/>
    <n v="69247"/>
    <n v="1779"/>
    <n v="2802.06"/>
    <n v="153"/>
    <n v="6528.64"/>
    <n v="8.5999999999999993E-2"/>
    <n v="2.5690643637991539"/>
  </r>
  <r>
    <d v="2024-10-06T00:00:00"/>
    <x v="3"/>
    <x v="2"/>
    <s v="winter boots discount"/>
    <n v="4501"/>
    <n v="195"/>
    <n v="267.36"/>
    <n v="20"/>
    <n v="1296.27"/>
    <n v="0.1026"/>
    <n v="4.3323705843145968"/>
  </r>
  <r>
    <d v="2024-10-07T00:00:00"/>
    <x v="0"/>
    <x v="0"/>
    <s v="buy summer dress sale"/>
    <n v="16808"/>
    <n v="516"/>
    <n v="617.58000000000004"/>
    <n v="15"/>
    <n v="1109.68"/>
    <n v="2.9100000000000001E-2"/>
    <n v="3.0699666825321277"/>
  </r>
  <r>
    <d v="2024-10-07T00:00:00"/>
    <x v="0"/>
    <x v="1"/>
    <s v="men leather jacket sale"/>
    <n v="39919"/>
    <n v="1320"/>
    <n v="1010.7"/>
    <n v="155"/>
    <n v="3860.48"/>
    <n v="0.1174"/>
    <n v="3.3066960595205295"/>
  </r>
  <r>
    <d v="2024-10-07T00:00:00"/>
    <x v="0"/>
    <x v="2"/>
    <s v="kids educational toys sale"/>
    <n v="4385"/>
    <n v="58"/>
    <n v="131.02000000000001"/>
    <n v="10"/>
    <n v="507.22"/>
    <n v="0.1724"/>
    <n v="1.3226909920182441"/>
  </r>
  <r>
    <d v="2024-10-07T00:00:00"/>
    <x v="1"/>
    <x v="0"/>
    <s v="handmade ceramic mug buy now"/>
    <n v="12332"/>
    <n v="539"/>
    <n v="1408.69"/>
    <n v="60"/>
    <n v="5925.99"/>
    <n v="0.1113"/>
    <n v="4.3707427830035677"/>
  </r>
  <r>
    <d v="2024-10-07T00:00:00"/>
    <x v="1"/>
    <x v="1"/>
    <s v="discount leather backpack"/>
    <n v="62861"/>
    <n v="1235"/>
    <n v="3178.25"/>
    <n v="205"/>
    <n v="5613.3"/>
    <n v="0.16600000000000001"/>
    <n v="1.9646521690714434"/>
  </r>
  <r>
    <d v="2024-10-07T00:00:00"/>
    <x v="1"/>
    <x v="2"/>
    <s v="organic coffee pods fast shipping"/>
    <n v="3165"/>
    <n v="68"/>
    <n v="70.87"/>
    <n v="10"/>
    <n v="245.29"/>
    <n v="0.14710000000000001"/>
    <n v="2.1484992101105842"/>
  </r>
  <r>
    <d v="2024-10-07T00:00:00"/>
    <x v="2"/>
    <x v="0"/>
    <s v="4k smart TV discount"/>
    <n v="24390"/>
    <n v="427"/>
    <n v="862.44"/>
    <n v="29"/>
    <n v="3328.15"/>
    <n v="6.7900000000000002E-2"/>
    <n v="1.7507175071750716"/>
  </r>
  <r>
    <d v="2024-10-07T00:00:00"/>
    <x v="2"/>
    <x v="1"/>
    <s v="4k smart TV discount"/>
    <n v="67798"/>
    <n v="2105"/>
    <n v="2975.18"/>
    <n v="60"/>
    <n v="10331.43"/>
    <n v="2.8500000000000001E-2"/>
    <n v="3.1048113513672972"/>
  </r>
  <r>
    <d v="2024-10-07T00:00:00"/>
    <x v="2"/>
    <x v="2"/>
    <s v="men leather jacket sale"/>
    <n v="4640"/>
    <n v="204"/>
    <n v="137.63"/>
    <n v="3"/>
    <n v="284.88"/>
    <n v="1.47E-2"/>
    <n v="4.3965517241379306"/>
  </r>
  <r>
    <d v="2024-10-07T00:00:00"/>
    <x v="3"/>
    <x v="0"/>
    <s v="holiday gift ideas under 50"/>
    <n v="18831"/>
    <n v="890"/>
    <n v="348.28"/>
    <n v="58"/>
    <n v="649.79"/>
    <n v="6.5199999999999994E-2"/>
    <n v="4.7262492698210394"/>
  </r>
  <r>
    <d v="2024-10-07T00:00:00"/>
    <x v="3"/>
    <x v="1"/>
    <s v="winter boots discount"/>
    <n v="53229"/>
    <n v="1371"/>
    <n v="4987.78"/>
    <n v="151"/>
    <n v="18016.77"/>
    <n v="0.1101"/>
    <n v="2.5756636419996615"/>
  </r>
  <r>
    <d v="2024-10-07T00:00:00"/>
    <x v="3"/>
    <x v="2"/>
    <s v="winter boots discount"/>
    <n v="2747"/>
    <n v="170"/>
    <n v="171.79"/>
    <n v="11"/>
    <n v="415.74"/>
    <n v="6.4699999999999994E-2"/>
    <n v="6.1885693483800512"/>
  </r>
  <r>
    <d v="2024-10-08T00:00:00"/>
    <x v="0"/>
    <x v="0"/>
    <s v="buy summer dress sale"/>
    <n v="15269"/>
    <n v="637"/>
    <n v="793.97"/>
    <n v="41"/>
    <n v="1822.34"/>
    <n v="6.4399999999999999E-2"/>
    <n v="4.1718514637500821"/>
  </r>
  <r>
    <d v="2024-10-08T00:00:00"/>
    <x v="0"/>
    <x v="1"/>
    <s v="kids educational toys sale"/>
    <n v="37404"/>
    <n v="1931"/>
    <n v="1352.24"/>
    <n v="104"/>
    <n v="3283.83"/>
    <n v="5.3900000000000003E-2"/>
    <n v="5.1625494599508075"/>
  </r>
  <r>
    <d v="2024-10-08T00:00:00"/>
    <x v="0"/>
    <x v="2"/>
    <s v="kids educational toys sale"/>
    <n v="6215"/>
    <n v="50"/>
    <n v="280.18"/>
    <n v="18"/>
    <n v="828.07"/>
    <n v="0.36"/>
    <n v="0.80450522928399038"/>
  </r>
  <r>
    <d v="2024-10-08T00:00:00"/>
    <x v="1"/>
    <x v="0"/>
    <s v="best wireless earbuds deals"/>
    <n v="16146"/>
    <n v="830"/>
    <n v="734.14"/>
    <n v="58"/>
    <n v="2271.63"/>
    <n v="6.9900000000000004E-2"/>
    <n v="5.1405920971138368"/>
  </r>
  <r>
    <d v="2024-10-08T00:00:00"/>
    <x v="1"/>
    <x v="1"/>
    <s v="handmade ceramic mug buy now"/>
    <n v="38382"/>
    <n v="1416"/>
    <n v="2068.2199999999998"/>
    <n v="73"/>
    <n v="9772.66"/>
    <n v="5.16E-2"/>
    <n v="3.6892293262466782"/>
  </r>
  <r>
    <d v="2024-10-08T00:00:00"/>
    <x v="1"/>
    <x v="2"/>
    <s v="handmade ceramic mug buy now"/>
    <n v="7720"/>
    <n v="174"/>
    <n v="92.5"/>
    <n v="20"/>
    <n v="391.96"/>
    <n v="0.1149"/>
    <n v="2.2538860103626943"/>
  </r>
  <r>
    <d v="2024-10-08T00:00:00"/>
    <x v="2"/>
    <x v="0"/>
    <s v="wireless headphones discount"/>
    <n v="20182"/>
    <n v="864"/>
    <n v="316.41000000000003"/>
    <n v="36"/>
    <n v="491.76"/>
    <n v="4.1700000000000001E-2"/>
    <n v="4.2810425131305125"/>
  </r>
  <r>
    <d v="2024-10-08T00:00:00"/>
    <x v="2"/>
    <x v="1"/>
    <s v="best gaming laptop deals"/>
    <n v="65241"/>
    <n v="2939"/>
    <n v="1469.86"/>
    <n v="79"/>
    <n v="4547.49"/>
    <n v="2.69E-2"/>
    <n v="4.5048359160650513"/>
  </r>
  <r>
    <d v="2024-10-08T00:00:00"/>
    <x v="2"/>
    <x v="2"/>
    <s v="4k smart TV discount"/>
    <n v="6168"/>
    <n v="230"/>
    <n v="145.69999999999999"/>
    <n v="16"/>
    <n v="717.56"/>
    <n v="6.9599999999999995E-2"/>
    <n v="3.7289234760051881"/>
  </r>
  <r>
    <d v="2024-10-08T00:00:00"/>
    <x v="3"/>
    <x v="0"/>
    <s v="christmas decor sale"/>
    <n v="24967"/>
    <n v="864"/>
    <n v="473.57"/>
    <n v="22"/>
    <n v="2227.25"/>
    <n v="2.5499999999999998E-2"/>
    <n v="3.4605679496935959"/>
  </r>
  <r>
    <d v="2024-10-08T00:00:00"/>
    <x v="3"/>
    <x v="1"/>
    <s v="christmas decor sale"/>
    <n v="39575"/>
    <n v="1565"/>
    <n v="4090.7"/>
    <n v="146"/>
    <n v="10192.09"/>
    <n v="9.3299999999999994E-2"/>
    <n v="3.954516740366393"/>
  </r>
  <r>
    <d v="2024-10-08T00:00:00"/>
    <x v="3"/>
    <x v="2"/>
    <s v="new year party dress"/>
    <n v="2021"/>
    <n v="122"/>
    <n v="304.12"/>
    <n v="19"/>
    <n v="1035.1400000000001"/>
    <n v="0.15570000000000001"/>
    <n v="6.0366155368629393"/>
  </r>
  <r>
    <d v="2024-10-09T00:00:00"/>
    <x v="0"/>
    <x v="0"/>
    <s v="kids educational toys sale"/>
    <n v="14869"/>
    <n v="757"/>
    <n v="946.3"/>
    <n v="32"/>
    <n v="2330.9899999999998"/>
    <n v="4.2299999999999997E-2"/>
    <n v="5.0911291949693993"/>
  </r>
  <r>
    <d v="2024-10-09T00:00:00"/>
    <x v="0"/>
    <x v="1"/>
    <s v="kids educational toys sale"/>
    <n v="64841"/>
    <n v="2910"/>
    <n v="2287.11"/>
    <n v="88"/>
    <n v="11268.46"/>
    <n v="3.0200000000000001E-2"/>
    <n v="4.4879011736401351"/>
  </r>
  <r>
    <d v="2024-10-09T00:00:00"/>
    <x v="0"/>
    <x v="2"/>
    <s v="men leather jacket sale"/>
    <n v="6684"/>
    <n v="148"/>
    <n v="131.75"/>
    <n v="14"/>
    <n v="179.95"/>
    <n v="9.4600000000000004E-2"/>
    <n v="2.2142429682824658"/>
  </r>
  <r>
    <d v="2024-10-09T00:00:00"/>
    <x v="1"/>
    <x v="0"/>
    <s v="handmade ceramic mug buy now"/>
    <n v="22492"/>
    <n v="695"/>
    <n v="1486.1"/>
    <n v="60"/>
    <n v="6418.23"/>
    <n v="8.6300000000000002E-2"/>
    <n v="3.0899875511292905"/>
  </r>
  <r>
    <d v="2024-10-09T00:00:00"/>
    <x v="1"/>
    <x v="1"/>
    <s v="discount leather backpack"/>
    <n v="67461"/>
    <n v="2975"/>
    <n v="1148.08"/>
    <n v="168"/>
    <n v="5589.25"/>
    <n v="5.6500000000000002E-2"/>
    <n v="4.4099553816279036"/>
  </r>
  <r>
    <d v="2024-10-09T00:00:00"/>
    <x v="1"/>
    <x v="2"/>
    <s v="organic coffee pods fast shipping"/>
    <n v="2822"/>
    <n v="162"/>
    <n v="84.9"/>
    <n v="15"/>
    <n v="106.83"/>
    <n v="9.2600000000000002E-2"/>
    <n v="5.7406094968107721"/>
  </r>
  <r>
    <d v="2024-10-09T00:00:00"/>
    <x v="2"/>
    <x v="0"/>
    <s v="wireless headphones discount"/>
    <n v="23434"/>
    <n v="458"/>
    <n v="389.79"/>
    <n v="60"/>
    <n v="1903.33"/>
    <n v="0.13100000000000001"/>
    <n v="1.9544251941623281"/>
  </r>
  <r>
    <d v="2024-10-09T00:00:00"/>
    <x v="2"/>
    <x v="1"/>
    <s v="4k smart TV discount"/>
    <n v="61049"/>
    <n v="2330"/>
    <n v="1321.26"/>
    <n v="124"/>
    <n v="5864.94"/>
    <n v="5.3199999999999997E-2"/>
    <n v="3.8166063326180613"/>
  </r>
  <r>
    <d v="2024-10-09T00:00:00"/>
    <x v="2"/>
    <x v="2"/>
    <s v="men leather jacket sale"/>
    <n v="4594"/>
    <n v="210"/>
    <n v="301.55"/>
    <n v="16"/>
    <n v="1361.51"/>
    <n v="7.6200000000000004E-2"/>
    <n v="4.5711797997387897"/>
  </r>
  <r>
    <d v="2024-10-09T00:00:00"/>
    <x v="3"/>
    <x v="0"/>
    <s v="holiday gift ideas under 50"/>
    <n v="12242"/>
    <n v="540"/>
    <n v="1057.3900000000001"/>
    <n v="28"/>
    <n v="5276.61"/>
    <n v="5.1900000000000002E-2"/>
    <n v="4.4110439470674727"/>
  </r>
  <r>
    <d v="2024-10-09T00:00:00"/>
    <x v="3"/>
    <x v="1"/>
    <s v="holiday gift ideas under 50"/>
    <n v="63440"/>
    <n v="1201"/>
    <n v="4041.48"/>
    <n v="220"/>
    <n v="18250.52"/>
    <n v="0.1832"/>
    <n v="1.8931273644388398"/>
  </r>
  <r>
    <d v="2024-10-09T00:00:00"/>
    <x v="3"/>
    <x v="2"/>
    <s v="winter boots discount"/>
    <n v="3362"/>
    <n v="227"/>
    <n v="154.81"/>
    <n v="1"/>
    <n v="212.83"/>
    <n v="4.4000000000000003E-3"/>
    <n v="6.7519333729922666"/>
  </r>
  <r>
    <d v="2024-10-10T00:00:00"/>
    <x v="0"/>
    <x v="0"/>
    <s v="buy summer dress sale"/>
    <n v="19613"/>
    <n v="667"/>
    <n v="749.81"/>
    <n v="19"/>
    <n v="1595.56"/>
    <n v="2.8500000000000001E-2"/>
    <n v="3.4008055881303219"/>
  </r>
  <r>
    <d v="2024-10-10T00:00:00"/>
    <x v="0"/>
    <x v="1"/>
    <s v="kids educational toys sale"/>
    <n v="46800"/>
    <n v="1348"/>
    <n v="1700.28"/>
    <n v="196"/>
    <n v="7666.89"/>
    <n v="0.1454"/>
    <n v="2.8803418803418803"/>
  </r>
  <r>
    <d v="2024-10-10T00:00:00"/>
    <x v="0"/>
    <x v="2"/>
    <s v="men leather jacket sale"/>
    <n v="6076"/>
    <n v="199"/>
    <n v="100.09"/>
    <n v="15"/>
    <n v="362.73"/>
    <n v="7.5399999999999995E-2"/>
    <n v="3.2751810401579986"/>
  </r>
  <r>
    <d v="2024-10-10T00:00:00"/>
    <x v="1"/>
    <x v="0"/>
    <s v="handmade ceramic mug buy now"/>
    <n v="18366"/>
    <n v="309"/>
    <n v="1378.69"/>
    <n v="39"/>
    <n v="6375.88"/>
    <n v="0.12620000000000001"/>
    <n v="1.6824567134923227"/>
  </r>
  <r>
    <d v="2024-10-10T00:00:00"/>
    <x v="1"/>
    <x v="1"/>
    <s v="discount leather backpack"/>
    <n v="39840"/>
    <n v="1904"/>
    <n v="4780.9399999999996"/>
    <n v="190"/>
    <n v="11172.03"/>
    <n v="9.98E-2"/>
    <n v="4.7791164658634537"/>
  </r>
  <r>
    <d v="2024-10-10T00:00:00"/>
    <x v="1"/>
    <x v="2"/>
    <s v="handmade ceramic mug buy now"/>
    <n v="7655"/>
    <n v="114"/>
    <n v="209.89"/>
    <n v="10"/>
    <n v="410.76"/>
    <n v="8.77E-2"/>
    <n v="1.4892227302416721"/>
  </r>
  <r>
    <d v="2024-10-10T00:00:00"/>
    <x v="2"/>
    <x v="0"/>
    <s v="men leather jacket sale"/>
    <n v="25833"/>
    <n v="409"/>
    <n v="584.65"/>
    <n v="46"/>
    <n v="1499.07"/>
    <n v="0.1125"/>
    <n v="1.5832462354352959"/>
  </r>
  <r>
    <d v="2024-10-10T00:00:00"/>
    <x v="2"/>
    <x v="1"/>
    <s v="4k smart TV discount"/>
    <n v="54348"/>
    <n v="1044"/>
    <n v="4911.78"/>
    <n v="208"/>
    <n v="13281.76"/>
    <n v="0.19919999999999999"/>
    <n v="1.9209538529476706"/>
  </r>
  <r>
    <d v="2024-10-10T00:00:00"/>
    <x v="2"/>
    <x v="2"/>
    <s v="best gaming laptop deals"/>
    <n v="6636"/>
    <n v="225"/>
    <n v="322.41000000000003"/>
    <n v="2"/>
    <n v="1502.54"/>
    <n v="8.8999999999999999E-3"/>
    <n v="3.3905967450271248"/>
  </r>
  <r>
    <d v="2024-10-10T00:00:00"/>
    <x v="3"/>
    <x v="0"/>
    <s v="winter boots discount"/>
    <n v="19378"/>
    <n v="535"/>
    <n v="1028.48"/>
    <n v="32"/>
    <n v="2090.09"/>
    <n v="5.9799999999999999E-2"/>
    <n v="2.7608628341418102"/>
  </r>
  <r>
    <d v="2024-10-10T00:00:00"/>
    <x v="3"/>
    <x v="1"/>
    <s v="christmas decor sale"/>
    <n v="51425"/>
    <n v="2388"/>
    <n v="4022.31"/>
    <n v="236"/>
    <n v="14902.22"/>
    <n v="9.8799999999999999E-2"/>
    <n v="4.6436558094312099"/>
  </r>
  <r>
    <d v="2024-10-10T00:00:00"/>
    <x v="3"/>
    <x v="2"/>
    <s v="christmas decor sale"/>
    <n v="7146"/>
    <n v="74"/>
    <n v="366.19"/>
    <n v="2"/>
    <n v="869.31"/>
    <n v="2.7E-2"/>
    <n v="1.0355443604813881"/>
  </r>
  <r>
    <d v="2024-10-11T00:00:00"/>
    <x v="0"/>
    <x v="0"/>
    <s v="kids educational toys sale"/>
    <n v="11093"/>
    <n v="893"/>
    <n v="737.83"/>
    <n v="18"/>
    <n v="1138.1099999999999"/>
    <n v="2.0199999999999999E-2"/>
    <n v="8.0501216983683399"/>
  </r>
  <r>
    <d v="2024-10-11T00:00:00"/>
    <x v="0"/>
    <x v="1"/>
    <s v="discount leather backpack"/>
    <n v="56411"/>
    <n v="2530"/>
    <n v="2662.01"/>
    <n v="91"/>
    <n v="4531.29"/>
    <n v="3.5999999999999997E-2"/>
    <n v="4.4849408803247597"/>
  </r>
  <r>
    <d v="2024-10-11T00:00:00"/>
    <x v="0"/>
    <x v="2"/>
    <s v="discount leather backpack"/>
    <n v="6348"/>
    <n v="178"/>
    <n v="369.72"/>
    <n v="6"/>
    <n v="804.69"/>
    <n v="3.3700000000000001E-2"/>
    <n v="2.8040327662255828"/>
  </r>
  <r>
    <d v="2024-10-11T00:00:00"/>
    <x v="1"/>
    <x v="0"/>
    <s v="handmade ceramic mug buy now"/>
    <n v="19671"/>
    <n v="646"/>
    <n v="1265.08"/>
    <n v="39"/>
    <n v="6147.02"/>
    <n v="6.0400000000000002E-2"/>
    <n v="3.2840221646077987"/>
  </r>
  <r>
    <d v="2024-10-11T00:00:00"/>
    <x v="1"/>
    <x v="1"/>
    <s v="discount leather backpack"/>
    <n v="49785"/>
    <n v="2761"/>
    <n v="3705.29"/>
    <n v="212"/>
    <n v="18244.03"/>
    <n v="7.6799999999999993E-2"/>
    <n v="5.5458471427136686"/>
  </r>
  <r>
    <d v="2024-10-11T00:00:00"/>
    <x v="1"/>
    <x v="2"/>
    <s v="organic coffee pods fast shipping"/>
    <n v="2739"/>
    <n v="151"/>
    <n v="54.87"/>
    <n v="18"/>
    <n v="91.61"/>
    <n v="0.1192"/>
    <n v="5.5129609346476816"/>
  </r>
  <r>
    <d v="2024-10-11T00:00:00"/>
    <x v="2"/>
    <x v="0"/>
    <s v="4k smart TV discount"/>
    <n v="18590"/>
    <n v="898"/>
    <n v="757.23"/>
    <n v="50"/>
    <n v="3614.34"/>
    <n v="5.57E-2"/>
    <n v="4.8305540613232925"/>
  </r>
  <r>
    <d v="2024-10-11T00:00:00"/>
    <x v="2"/>
    <x v="1"/>
    <s v="best gaming laptop deals"/>
    <n v="50323"/>
    <n v="1965"/>
    <n v="1100.0999999999999"/>
    <n v="183"/>
    <n v="2691.31"/>
    <n v="9.3100000000000002E-2"/>
    <n v="3.9047751525147549"/>
  </r>
  <r>
    <d v="2024-10-11T00:00:00"/>
    <x v="2"/>
    <x v="2"/>
    <s v="wireless headphones discount"/>
    <n v="7305"/>
    <n v="66"/>
    <n v="272.39"/>
    <n v="15"/>
    <n v="1268.1600000000001"/>
    <n v="0.2273"/>
    <n v="0.90349075975359339"/>
  </r>
  <r>
    <d v="2024-10-11T00:00:00"/>
    <x v="3"/>
    <x v="0"/>
    <s v="new year party dress"/>
    <n v="23379"/>
    <n v="419"/>
    <n v="467.73"/>
    <n v="12"/>
    <n v="1102.25"/>
    <n v="2.86E-2"/>
    <n v="1.7922066812096324"/>
  </r>
  <r>
    <d v="2024-10-11T00:00:00"/>
    <x v="3"/>
    <x v="1"/>
    <s v="winter boots discount"/>
    <n v="42610"/>
    <n v="1199"/>
    <n v="1939.2"/>
    <n v="177"/>
    <n v="3326.74"/>
    <n v="0.14760000000000001"/>
    <n v="2.813893452241258"/>
  </r>
  <r>
    <d v="2024-10-11T00:00:00"/>
    <x v="3"/>
    <x v="2"/>
    <s v="winter boots discount"/>
    <n v="5039"/>
    <n v="221"/>
    <n v="382.28"/>
    <n v="18"/>
    <n v="1067.5899999999999"/>
    <n v="8.14E-2"/>
    <n v="4.3857908315141891"/>
  </r>
  <r>
    <d v="2024-10-12T00:00:00"/>
    <x v="0"/>
    <x v="0"/>
    <s v="men leather jacket sale"/>
    <n v="23594"/>
    <n v="401"/>
    <n v="1300.43"/>
    <n v="49"/>
    <n v="3577.28"/>
    <n v="0.1222"/>
    <n v="1.6995846401627532"/>
  </r>
  <r>
    <d v="2024-10-12T00:00:00"/>
    <x v="0"/>
    <x v="1"/>
    <s v="discount leather backpack"/>
    <n v="37144"/>
    <n v="2413"/>
    <n v="2482.12"/>
    <n v="153"/>
    <n v="7172.94"/>
    <n v="6.3399999999999998E-2"/>
    <n v="6.4963385741977175"/>
  </r>
  <r>
    <d v="2024-10-12T00:00:00"/>
    <x v="0"/>
    <x v="2"/>
    <s v="men leather jacket sale"/>
    <n v="4971"/>
    <n v="75"/>
    <n v="393.32"/>
    <n v="12"/>
    <n v="1285.75"/>
    <n v="0.16"/>
    <n v="1.5087507543753771"/>
  </r>
  <r>
    <d v="2024-10-12T00:00:00"/>
    <x v="1"/>
    <x v="0"/>
    <s v="organic coffee pods fast shipping"/>
    <n v="11984"/>
    <n v="707"/>
    <n v="631.05999999999995"/>
    <n v="17"/>
    <n v="3033.03"/>
    <n v="2.4E-2"/>
    <n v="5.8995327102803738"/>
  </r>
  <r>
    <d v="2024-10-12T00:00:00"/>
    <x v="1"/>
    <x v="1"/>
    <s v="handmade ceramic mug buy now"/>
    <n v="41007"/>
    <n v="2357"/>
    <n v="1848.42"/>
    <n v="203"/>
    <n v="6412.45"/>
    <n v="8.6099999999999996E-2"/>
    <n v="5.7477991562416175"/>
  </r>
  <r>
    <d v="2024-10-12T00:00:00"/>
    <x v="1"/>
    <x v="2"/>
    <s v="best wireless earbuds deals"/>
    <n v="2414"/>
    <n v="135"/>
    <n v="135.25"/>
    <n v="5"/>
    <n v="566.77"/>
    <n v="3.6999999999999998E-2"/>
    <n v="5.5923777961888979"/>
  </r>
  <r>
    <d v="2024-10-12T00:00:00"/>
    <x v="2"/>
    <x v="0"/>
    <s v="wireless headphones discount"/>
    <n v="12248"/>
    <n v="867"/>
    <n v="548.59"/>
    <n v="23"/>
    <n v="2353.23"/>
    <n v="2.6499999999999999E-2"/>
    <n v="7.0787067276290001"/>
  </r>
  <r>
    <d v="2024-10-12T00:00:00"/>
    <x v="2"/>
    <x v="1"/>
    <s v="wireless headphones discount"/>
    <n v="56532"/>
    <n v="2585"/>
    <n v="1590.22"/>
    <n v="192"/>
    <n v="1925.4"/>
    <n v="7.4300000000000005E-2"/>
    <n v="4.572631429986556"/>
  </r>
  <r>
    <d v="2024-10-12T00:00:00"/>
    <x v="2"/>
    <x v="2"/>
    <s v="wireless headphones discount"/>
    <n v="3064"/>
    <n v="188"/>
    <n v="137.72999999999999"/>
    <n v="6"/>
    <n v="222.81"/>
    <n v="3.1899999999999998E-2"/>
    <n v="6.1357702349869454"/>
  </r>
  <r>
    <d v="2024-10-12T00:00:00"/>
    <x v="3"/>
    <x v="0"/>
    <s v="holiday gift ideas under 50"/>
    <n v="14318"/>
    <n v="315"/>
    <n v="729.89"/>
    <n v="60"/>
    <n v="1535.79"/>
    <n v="0.1905"/>
    <n v="2.2000279368626905"/>
  </r>
  <r>
    <d v="2024-10-12T00:00:00"/>
    <x v="3"/>
    <x v="1"/>
    <s v="new year party dress"/>
    <n v="36034"/>
    <n v="1356"/>
    <n v="2061.4699999999998"/>
    <n v="72"/>
    <n v="8284.08"/>
    <n v="5.3100000000000001E-2"/>
    <n v="3.7631126158627968"/>
  </r>
  <r>
    <d v="2024-10-12T00:00:00"/>
    <x v="3"/>
    <x v="2"/>
    <s v="holiday gift ideas under 50"/>
    <n v="2520"/>
    <n v="171"/>
    <n v="206.9"/>
    <n v="12"/>
    <n v="651.79999999999995"/>
    <n v="7.0199999999999999E-2"/>
    <n v="6.7857142857142856"/>
  </r>
  <r>
    <d v="2024-10-13T00:00:00"/>
    <x v="0"/>
    <x v="0"/>
    <s v="buy summer dress sale"/>
    <n v="24811"/>
    <n v="815"/>
    <n v="565.86"/>
    <n v="49"/>
    <n v="772.28"/>
    <n v="6.0100000000000001E-2"/>
    <n v="3.2848333400507843"/>
  </r>
  <r>
    <d v="2024-10-13T00:00:00"/>
    <x v="0"/>
    <x v="1"/>
    <s v="discount leather backpack"/>
    <n v="65018"/>
    <n v="2317"/>
    <n v="4856.1000000000004"/>
    <n v="55"/>
    <n v="24254.42"/>
    <n v="2.3699999999999999E-2"/>
    <n v="3.5636285336368387"/>
  </r>
  <r>
    <d v="2024-10-13T00:00:00"/>
    <x v="0"/>
    <x v="2"/>
    <s v="kids educational toys sale"/>
    <n v="5492"/>
    <n v="225"/>
    <n v="87.79"/>
    <n v="15"/>
    <n v="129.86000000000001"/>
    <n v="6.6699999999999995E-2"/>
    <n v="4.0968681718863804"/>
  </r>
  <r>
    <d v="2024-10-13T00:00:00"/>
    <x v="1"/>
    <x v="0"/>
    <s v="best wireless earbuds deals"/>
    <n v="20554"/>
    <n v="451"/>
    <n v="378.82"/>
    <n v="27"/>
    <n v="1353.3"/>
    <n v="5.9900000000000002E-2"/>
    <n v="2.1942201031429405"/>
  </r>
  <r>
    <d v="2024-10-13T00:00:00"/>
    <x v="1"/>
    <x v="1"/>
    <s v="organic coffee pods fast shipping"/>
    <n v="59962"/>
    <n v="2223"/>
    <n v="3122.23"/>
    <n v="156"/>
    <n v="9744.77"/>
    <n v="7.0199999999999999E-2"/>
    <n v="3.70734798705847"/>
  </r>
  <r>
    <d v="2024-10-13T00:00:00"/>
    <x v="1"/>
    <x v="2"/>
    <s v="handmade ceramic mug buy now"/>
    <n v="2812"/>
    <n v="229"/>
    <n v="90.04"/>
    <n v="18"/>
    <n v="354.68"/>
    <n v="7.8600000000000003E-2"/>
    <n v="8.143669985775249"/>
  </r>
  <r>
    <d v="2024-10-13T00:00:00"/>
    <x v="2"/>
    <x v="0"/>
    <s v="wireless headphones discount"/>
    <n v="24092"/>
    <n v="762"/>
    <n v="1365.71"/>
    <n v="36"/>
    <n v="3397.8"/>
    <n v="4.7199999999999999E-2"/>
    <n v="3.1628756433670926"/>
  </r>
  <r>
    <d v="2024-10-13T00:00:00"/>
    <x v="2"/>
    <x v="1"/>
    <s v="men leather jacket sale"/>
    <n v="61131"/>
    <n v="1851"/>
    <n v="3918.45"/>
    <n v="120"/>
    <n v="11056.7"/>
    <n v="6.4799999999999996E-2"/>
    <n v="3.0279236393973599"/>
  </r>
  <r>
    <d v="2024-10-13T00:00:00"/>
    <x v="2"/>
    <x v="2"/>
    <s v="4k smart TV discount"/>
    <n v="5066"/>
    <n v="89"/>
    <n v="290.39"/>
    <n v="16"/>
    <n v="422.55"/>
    <n v="0.17979999999999999"/>
    <n v="1.7568101065929727"/>
  </r>
  <r>
    <d v="2024-10-13T00:00:00"/>
    <x v="3"/>
    <x v="0"/>
    <s v="holiday gift ideas under 50"/>
    <n v="13054"/>
    <n v="742"/>
    <n v="415.88"/>
    <n v="57"/>
    <n v="1087.97"/>
    <n v="7.6799999999999993E-2"/>
    <n v="5.6840815075838824"/>
  </r>
  <r>
    <d v="2024-10-13T00:00:00"/>
    <x v="3"/>
    <x v="1"/>
    <s v="christmas decor sale"/>
    <n v="38930"/>
    <n v="2201"/>
    <n v="4826.5"/>
    <n v="183"/>
    <n v="11837.74"/>
    <n v="8.3099999999999993E-2"/>
    <n v="5.6537374775237605"/>
  </r>
  <r>
    <d v="2024-10-13T00:00:00"/>
    <x v="3"/>
    <x v="2"/>
    <s v="holiday gift ideas under 50"/>
    <n v="5365"/>
    <n v="140"/>
    <n v="355.76"/>
    <n v="14"/>
    <n v="1600.48"/>
    <n v="0.1"/>
    <n v="2.6095060577819198"/>
  </r>
  <r>
    <d v="2024-10-14T00:00:00"/>
    <x v="0"/>
    <x v="0"/>
    <s v="buy summer dress sale"/>
    <n v="19425"/>
    <n v="619"/>
    <n v="721.98"/>
    <n v="46"/>
    <n v="2258.4699999999998"/>
    <n v="7.4300000000000005E-2"/>
    <n v="3.1866151866151866"/>
  </r>
  <r>
    <d v="2024-10-14T00:00:00"/>
    <x v="0"/>
    <x v="1"/>
    <s v="men leather jacket sale"/>
    <n v="66600"/>
    <n v="1459"/>
    <n v="4389.1000000000004"/>
    <n v="129"/>
    <n v="19366.55"/>
    <n v="8.8400000000000006E-2"/>
    <n v="2.1906906906906909"/>
  </r>
  <r>
    <d v="2024-10-14T00:00:00"/>
    <x v="0"/>
    <x v="2"/>
    <s v="discount leather backpack"/>
    <n v="2941"/>
    <n v="245"/>
    <n v="147.5"/>
    <n v="8"/>
    <n v="629.45000000000005"/>
    <n v="3.27E-2"/>
    <n v="8.3304998299897992"/>
  </r>
  <r>
    <d v="2024-10-14T00:00:00"/>
    <x v="1"/>
    <x v="0"/>
    <s v="best wireless earbuds deals"/>
    <n v="29955"/>
    <n v="573"/>
    <n v="334.74"/>
    <n v="27"/>
    <n v="1295.53"/>
    <n v="4.7100000000000003E-2"/>
    <n v="1.9128693039559341"/>
  </r>
  <r>
    <d v="2024-10-14T00:00:00"/>
    <x v="1"/>
    <x v="1"/>
    <s v="organic coffee pods fast shipping"/>
    <n v="57270"/>
    <n v="1718"/>
    <n v="1024.42"/>
    <n v="76"/>
    <n v="3433.88"/>
    <n v="4.4200000000000003E-2"/>
    <n v="2.9998253885105641"/>
  </r>
  <r>
    <d v="2024-10-14T00:00:00"/>
    <x v="1"/>
    <x v="2"/>
    <s v="handmade ceramic mug buy now"/>
    <n v="2570"/>
    <n v="86"/>
    <n v="309.33999999999997"/>
    <n v="1"/>
    <n v="479.07"/>
    <n v="1.1599999999999999E-2"/>
    <n v="3.3463035019455254"/>
  </r>
  <r>
    <d v="2024-10-14T00:00:00"/>
    <x v="2"/>
    <x v="0"/>
    <s v="wireless headphones discount"/>
    <n v="22327"/>
    <n v="729"/>
    <n v="844.37"/>
    <n v="20"/>
    <n v="2200.6"/>
    <n v="2.7400000000000001E-2"/>
    <n v="3.2651050297845661"/>
  </r>
  <r>
    <d v="2024-10-14T00:00:00"/>
    <x v="2"/>
    <x v="1"/>
    <s v="4k smart TV discount"/>
    <n v="40567"/>
    <n v="2809"/>
    <n v="1210.44"/>
    <n v="80"/>
    <n v="4922.6899999999996"/>
    <n v="2.8500000000000001E-2"/>
    <n v="6.9243473759459659"/>
  </r>
  <r>
    <d v="2024-10-14T00:00:00"/>
    <x v="2"/>
    <x v="2"/>
    <s v="best gaming laptop deals"/>
    <n v="7521"/>
    <n v="70"/>
    <n v="145.24"/>
    <n v="14"/>
    <n v="442.33"/>
    <n v="0.2"/>
    <n v="0.93072729690200773"/>
  </r>
  <r>
    <d v="2024-10-14T00:00:00"/>
    <x v="3"/>
    <x v="0"/>
    <s v="winter boots discount"/>
    <n v="23571"/>
    <n v="579"/>
    <n v="558.67999999999995"/>
    <n v="42"/>
    <n v="912.05"/>
    <n v="7.2499999999999995E-2"/>
    <n v="2.4564082983326969"/>
  </r>
  <r>
    <d v="2024-10-14T00:00:00"/>
    <x v="3"/>
    <x v="1"/>
    <s v="winter boots discount"/>
    <n v="42267"/>
    <n v="1580"/>
    <n v="3712.87"/>
    <n v="191"/>
    <n v="11321.3"/>
    <n v="0.12089999999999999"/>
    <n v="3.7381408663969529"/>
  </r>
  <r>
    <d v="2024-10-14T00:00:00"/>
    <x v="3"/>
    <x v="2"/>
    <s v="new year party dress"/>
    <n v="2372"/>
    <n v="106"/>
    <n v="188.34"/>
    <n v="20"/>
    <n v="265.22000000000003"/>
    <n v="0.18870000000000001"/>
    <n v="4.4688026981450255"/>
  </r>
  <r>
    <d v="2024-10-15T00:00:00"/>
    <x v="0"/>
    <x v="0"/>
    <s v="men leather jacket sale"/>
    <n v="19876"/>
    <n v="516"/>
    <n v="1220.82"/>
    <n v="58"/>
    <n v="2650.37"/>
    <n v="0.1124"/>
    <n v="2.5960957939223186"/>
  </r>
  <r>
    <d v="2024-10-15T00:00:00"/>
    <x v="0"/>
    <x v="1"/>
    <s v="discount leather backpack"/>
    <n v="42863"/>
    <n v="1015"/>
    <n v="2989.54"/>
    <n v="150"/>
    <n v="5583.39"/>
    <n v="0.14779999999999999"/>
    <n v="2.3680097053402704"/>
  </r>
  <r>
    <d v="2024-10-15T00:00:00"/>
    <x v="0"/>
    <x v="2"/>
    <s v="kids educational toys sale"/>
    <n v="6362"/>
    <n v="230"/>
    <n v="130.54"/>
    <n v="18"/>
    <n v="570.04"/>
    <n v="7.8299999999999995E-2"/>
    <n v="3.6152153410877084"/>
  </r>
  <r>
    <d v="2024-10-15T00:00:00"/>
    <x v="1"/>
    <x v="0"/>
    <s v="organic coffee pods fast shipping"/>
    <n v="12361"/>
    <n v="706"/>
    <n v="1334.12"/>
    <n v="12"/>
    <n v="3812.43"/>
    <n v="1.7000000000000001E-2"/>
    <n v="5.7115120135911335"/>
  </r>
  <r>
    <d v="2024-10-15T00:00:00"/>
    <x v="1"/>
    <x v="1"/>
    <s v="handmade ceramic mug buy now"/>
    <n v="40102"/>
    <n v="2765"/>
    <n v="2252.2399999999998"/>
    <n v="149"/>
    <n v="7610.14"/>
    <n v="5.3900000000000003E-2"/>
    <n v="6.8949179592040295"/>
  </r>
  <r>
    <d v="2024-10-15T00:00:00"/>
    <x v="1"/>
    <x v="2"/>
    <s v="handmade ceramic mug buy now"/>
    <n v="4371"/>
    <n v="79"/>
    <n v="191.76"/>
    <n v="11"/>
    <n v="355.35"/>
    <n v="0.13919999999999999"/>
    <n v="1.8073667353008465"/>
  </r>
  <r>
    <d v="2024-10-15T00:00:00"/>
    <x v="2"/>
    <x v="0"/>
    <s v="men leather jacket sale"/>
    <n v="21857"/>
    <n v="390"/>
    <n v="824.05"/>
    <n v="16"/>
    <n v="1750.78"/>
    <n v="4.1000000000000002E-2"/>
    <n v="1.7843253877476324"/>
  </r>
  <r>
    <d v="2024-10-15T00:00:00"/>
    <x v="2"/>
    <x v="1"/>
    <s v="men leather jacket sale"/>
    <n v="69338"/>
    <n v="1161"/>
    <n v="2583.0700000000002"/>
    <n v="119"/>
    <n v="10420.26"/>
    <n v="0.10249999999999999"/>
    <n v="1.6744065303296893"/>
  </r>
  <r>
    <d v="2024-10-15T00:00:00"/>
    <x v="2"/>
    <x v="2"/>
    <s v="wireless headphones discount"/>
    <n v="4728"/>
    <n v="249"/>
    <n v="108.85"/>
    <n v="17"/>
    <n v="392.54"/>
    <n v="6.83E-2"/>
    <n v="5.2664974619289335"/>
  </r>
  <r>
    <d v="2024-10-15T00:00:00"/>
    <x v="3"/>
    <x v="0"/>
    <s v="christmas decor sale"/>
    <n v="21448"/>
    <n v="659"/>
    <n v="1172.8499999999999"/>
    <n v="51"/>
    <n v="5039.8999999999996"/>
    <n v="7.7399999999999997E-2"/>
    <n v="3.0725475568817604"/>
  </r>
  <r>
    <d v="2024-10-15T00:00:00"/>
    <x v="3"/>
    <x v="1"/>
    <s v="christmas decor sale"/>
    <n v="41737"/>
    <n v="1299"/>
    <n v="2023.87"/>
    <n v="84"/>
    <n v="7061.52"/>
    <n v="6.4699999999999994E-2"/>
    <n v="3.112346359345425"/>
  </r>
  <r>
    <d v="2024-10-15T00:00:00"/>
    <x v="3"/>
    <x v="2"/>
    <s v="holiday gift ideas under 50"/>
    <n v="3451"/>
    <n v="247"/>
    <n v="269.77999999999997"/>
    <n v="15"/>
    <n v="1097.17"/>
    <n v="6.0699999999999997E-2"/>
    <n v="7.1573456968994487"/>
  </r>
  <r>
    <d v="2024-10-16T00:00:00"/>
    <x v="0"/>
    <x v="0"/>
    <s v="kids educational toys sale"/>
    <n v="28497"/>
    <n v="630"/>
    <n v="1337.1"/>
    <n v="50"/>
    <n v="3210.82"/>
    <n v="7.9399999999999998E-2"/>
    <n v="2.210759027266028"/>
  </r>
  <r>
    <d v="2024-10-16T00:00:00"/>
    <x v="0"/>
    <x v="1"/>
    <s v="kids educational toys sale"/>
    <n v="39475"/>
    <n v="1960"/>
    <n v="2768.83"/>
    <n v="117"/>
    <n v="11701.22"/>
    <n v="5.9700000000000003E-2"/>
    <n v="4.9651678277390756"/>
  </r>
  <r>
    <d v="2024-10-16T00:00:00"/>
    <x v="0"/>
    <x v="2"/>
    <s v="buy summer dress sale"/>
    <n v="4883"/>
    <n v="179"/>
    <n v="75.97"/>
    <n v="15"/>
    <n v="221.63"/>
    <n v="8.3799999999999999E-2"/>
    <n v="3.6657792340774114"/>
  </r>
  <r>
    <d v="2024-10-16T00:00:00"/>
    <x v="1"/>
    <x v="0"/>
    <s v="best wireless earbuds deals"/>
    <n v="22082"/>
    <n v="593"/>
    <n v="392.08"/>
    <n v="15"/>
    <n v="1386.8"/>
    <n v="2.53E-2"/>
    <n v="2.6854451589529935"/>
  </r>
  <r>
    <d v="2024-10-16T00:00:00"/>
    <x v="1"/>
    <x v="1"/>
    <s v="handmade ceramic mug buy now"/>
    <n v="65324"/>
    <n v="2188"/>
    <n v="3217.27"/>
    <n v="242"/>
    <n v="12894.5"/>
    <n v="0.1106"/>
    <n v="3.3494580858489988"/>
  </r>
  <r>
    <d v="2024-10-16T00:00:00"/>
    <x v="1"/>
    <x v="2"/>
    <s v="best wireless earbuds deals"/>
    <n v="5684"/>
    <n v="196"/>
    <n v="278.14"/>
    <n v="11"/>
    <n v="973.22"/>
    <n v="5.6099999999999997E-2"/>
    <n v="3.4482758620689653"/>
  </r>
  <r>
    <d v="2024-10-16T00:00:00"/>
    <x v="2"/>
    <x v="0"/>
    <s v="wireless headphones discount"/>
    <n v="12027"/>
    <n v="761"/>
    <n v="424.2"/>
    <n v="31"/>
    <n v="2092.61"/>
    <n v="4.07E-2"/>
    <n v="6.3274299492807842"/>
  </r>
  <r>
    <d v="2024-10-16T00:00:00"/>
    <x v="2"/>
    <x v="1"/>
    <s v="best gaming laptop deals"/>
    <n v="68066"/>
    <n v="2323"/>
    <n v="1690.24"/>
    <n v="103"/>
    <n v="6573.28"/>
    <n v="4.4299999999999999E-2"/>
    <n v="3.412863984955778"/>
  </r>
  <r>
    <d v="2024-10-16T00:00:00"/>
    <x v="2"/>
    <x v="2"/>
    <s v="men leather jacket sale"/>
    <n v="6293"/>
    <n v="183"/>
    <n v="263.43"/>
    <n v="12"/>
    <n v="689.35"/>
    <n v="6.5600000000000006E-2"/>
    <n v="2.9079930081042429"/>
  </r>
  <r>
    <d v="2024-10-16T00:00:00"/>
    <x v="3"/>
    <x v="0"/>
    <s v="new year party dress"/>
    <n v="22694"/>
    <n v="718"/>
    <n v="1229.3599999999999"/>
    <n v="53"/>
    <n v="4268.3"/>
    <n v="7.3800000000000004E-2"/>
    <n v="3.1638318498281484"/>
  </r>
  <r>
    <d v="2024-10-16T00:00:00"/>
    <x v="3"/>
    <x v="1"/>
    <s v="new year party dress"/>
    <n v="39319"/>
    <n v="1675"/>
    <n v="1378.02"/>
    <n v="213"/>
    <n v="3677.86"/>
    <n v="0.12720000000000001"/>
    <n v="4.2600269589765762"/>
  </r>
  <r>
    <d v="2024-10-16T00:00:00"/>
    <x v="3"/>
    <x v="2"/>
    <s v="new year party dress"/>
    <n v="7928"/>
    <n v="218"/>
    <n v="387.54"/>
    <n v="20"/>
    <n v="1751.09"/>
    <n v="9.1700000000000004E-2"/>
    <n v="2.7497477295660948"/>
  </r>
  <r>
    <d v="2024-10-17T00:00:00"/>
    <x v="0"/>
    <x v="0"/>
    <s v="discount leather backpack"/>
    <n v="12670"/>
    <n v="896"/>
    <n v="1096.33"/>
    <n v="32"/>
    <n v="2608.04"/>
    <n v="3.5700000000000003E-2"/>
    <n v="7.0718232044198901"/>
  </r>
  <r>
    <d v="2024-10-17T00:00:00"/>
    <x v="0"/>
    <x v="1"/>
    <s v="kids educational toys sale"/>
    <n v="43450"/>
    <n v="2218"/>
    <n v="3835.34"/>
    <n v="61"/>
    <n v="9114.34"/>
    <n v="2.75E-2"/>
    <n v="5.1047180667433834"/>
  </r>
  <r>
    <d v="2024-10-17T00:00:00"/>
    <x v="0"/>
    <x v="2"/>
    <s v="kids educational toys sale"/>
    <n v="7271"/>
    <n v="134"/>
    <n v="334.61"/>
    <n v="17"/>
    <n v="520.36"/>
    <n v="0.12690000000000001"/>
    <n v="1.8429376977032046"/>
  </r>
  <r>
    <d v="2024-10-17T00:00:00"/>
    <x v="1"/>
    <x v="0"/>
    <s v="handmade ceramic mug buy now"/>
    <n v="26662"/>
    <n v="670"/>
    <n v="321.88"/>
    <n v="29"/>
    <n v="606.74"/>
    <n v="4.3299999999999998E-2"/>
    <n v="2.5129397644587805"/>
  </r>
  <r>
    <d v="2024-10-17T00:00:00"/>
    <x v="1"/>
    <x v="1"/>
    <s v="discount leather backpack"/>
    <n v="57395"/>
    <n v="2940"/>
    <n v="4064.62"/>
    <n v="89"/>
    <n v="8376.6299999999992"/>
    <n v="3.0300000000000001E-2"/>
    <n v="5.1223974213781682"/>
  </r>
  <r>
    <d v="2024-10-17T00:00:00"/>
    <x v="1"/>
    <x v="2"/>
    <s v="discount leather backpack"/>
    <n v="3269"/>
    <n v="69"/>
    <n v="153.53"/>
    <n v="4"/>
    <n v="480.43"/>
    <n v="5.8000000000000003E-2"/>
    <n v="2.1107372285102479"/>
  </r>
  <r>
    <d v="2024-10-17T00:00:00"/>
    <x v="2"/>
    <x v="0"/>
    <s v="best gaming laptop deals"/>
    <n v="21035"/>
    <n v="434"/>
    <n v="1016.7"/>
    <n v="19"/>
    <n v="1846.88"/>
    <n v="4.3799999999999999E-2"/>
    <n v="2.0632279534109816"/>
  </r>
  <r>
    <d v="2024-10-17T00:00:00"/>
    <x v="2"/>
    <x v="1"/>
    <s v="wireless headphones discount"/>
    <n v="63683"/>
    <n v="1089"/>
    <n v="2643.43"/>
    <n v="213"/>
    <n v="10400.379999999999"/>
    <n v="0.1956"/>
    <n v="1.7100325047500902"/>
  </r>
  <r>
    <d v="2024-10-17T00:00:00"/>
    <x v="2"/>
    <x v="2"/>
    <s v="men leather jacket sale"/>
    <n v="7001"/>
    <n v="122"/>
    <n v="313.33999999999997"/>
    <n v="15"/>
    <n v="654.63"/>
    <n v="0.123"/>
    <n v="1.742608198828739"/>
  </r>
  <r>
    <d v="2024-10-17T00:00:00"/>
    <x v="3"/>
    <x v="0"/>
    <s v="christmas decor sale"/>
    <n v="20140"/>
    <n v="780"/>
    <n v="1384.77"/>
    <n v="22"/>
    <n v="3597.35"/>
    <n v="2.8199999999999999E-2"/>
    <n v="3.8728897715988087"/>
  </r>
  <r>
    <d v="2024-10-17T00:00:00"/>
    <x v="3"/>
    <x v="1"/>
    <s v="winter boots discount"/>
    <n v="65256"/>
    <n v="2575"/>
    <n v="2127.09"/>
    <n v="137"/>
    <n v="6617.47"/>
    <n v="5.3199999999999997E-2"/>
    <n v="3.9459973029299986"/>
  </r>
  <r>
    <d v="2024-10-17T00:00:00"/>
    <x v="3"/>
    <x v="2"/>
    <s v="winter boots discount"/>
    <n v="3327"/>
    <n v="101"/>
    <n v="330.44"/>
    <n v="5"/>
    <n v="1492.73"/>
    <n v="4.9500000000000002E-2"/>
    <n v="3.0357679591223325"/>
  </r>
  <r>
    <d v="2024-10-18T00:00:00"/>
    <x v="0"/>
    <x v="0"/>
    <s v="buy summer dress sale"/>
    <n v="25747"/>
    <n v="680"/>
    <n v="965.45"/>
    <n v="16"/>
    <n v="3768.46"/>
    <n v="2.35E-2"/>
    <n v="2.6410843981823127"/>
  </r>
  <r>
    <d v="2024-10-18T00:00:00"/>
    <x v="0"/>
    <x v="1"/>
    <s v="buy summer dress sale"/>
    <n v="53681"/>
    <n v="1171"/>
    <n v="4052.47"/>
    <n v="109"/>
    <n v="11782.2"/>
    <n v="9.3100000000000002E-2"/>
    <n v="2.1814049663754402"/>
  </r>
  <r>
    <d v="2024-10-18T00:00:00"/>
    <x v="0"/>
    <x v="2"/>
    <s v="men leather jacket sale"/>
    <n v="5583"/>
    <n v="73"/>
    <n v="381.24"/>
    <n v="8"/>
    <n v="1640.66"/>
    <n v="0.1096"/>
    <n v="1.307540748701415"/>
  </r>
  <r>
    <d v="2024-10-18T00:00:00"/>
    <x v="1"/>
    <x v="0"/>
    <s v="organic coffee pods fast shipping"/>
    <n v="10873"/>
    <n v="724"/>
    <n v="363.91"/>
    <n v="42"/>
    <n v="953.83"/>
    <n v="5.8000000000000003E-2"/>
    <n v="6.6586958521107329"/>
  </r>
  <r>
    <d v="2024-10-18T00:00:00"/>
    <x v="1"/>
    <x v="1"/>
    <s v="handmade ceramic mug buy now"/>
    <n v="40348"/>
    <n v="1767"/>
    <n v="1898.16"/>
    <n v="121"/>
    <n v="8991.85"/>
    <n v="6.8500000000000005E-2"/>
    <n v="4.3793992267274717"/>
  </r>
  <r>
    <d v="2024-10-18T00:00:00"/>
    <x v="1"/>
    <x v="2"/>
    <s v="organic coffee pods fast shipping"/>
    <n v="3196"/>
    <n v="85"/>
    <n v="63.41"/>
    <n v="16"/>
    <n v="243.82"/>
    <n v="0.18820000000000001"/>
    <n v="2.6595744680851063"/>
  </r>
  <r>
    <d v="2024-10-18T00:00:00"/>
    <x v="2"/>
    <x v="0"/>
    <s v="wireless headphones discount"/>
    <n v="25371"/>
    <n v="759"/>
    <n v="1038.42"/>
    <n v="15"/>
    <n v="1321.09"/>
    <n v="1.9800000000000002E-2"/>
    <n v="2.9916045879153366"/>
  </r>
  <r>
    <d v="2024-10-18T00:00:00"/>
    <x v="2"/>
    <x v="1"/>
    <s v="wireless headphones discount"/>
    <n v="44798"/>
    <n v="2123"/>
    <n v="4760.8999999999996"/>
    <n v="195"/>
    <n v="15261.22"/>
    <n v="9.1899999999999996E-2"/>
    <n v="4.7390508504843964"/>
  </r>
  <r>
    <d v="2024-10-18T00:00:00"/>
    <x v="2"/>
    <x v="2"/>
    <s v="best gaming laptop deals"/>
    <n v="4360"/>
    <n v="110"/>
    <n v="155.4"/>
    <n v="2"/>
    <n v="327.27999999999997"/>
    <n v="1.8200000000000001E-2"/>
    <n v="2.522935779816514"/>
  </r>
  <r>
    <d v="2024-10-18T00:00:00"/>
    <x v="3"/>
    <x v="0"/>
    <s v="winter boots discount"/>
    <n v="12058"/>
    <n v="413"/>
    <n v="1304.03"/>
    <n v="41"/>
    <n v="4521.87"/>
    <n v="9.9299999999999999E-2"/>
    <n v="3.4251119588654837"/>
  </r>
  <r>
    <d v="2024-10-18T00:00:00"/>
    <x v="3"/>
    <x v="1"/>
    <s v="holiday gift ideas under 50"/>
    <n v="68775"/>
    <n v="2177"/>
    <n v="1967.75"/>
    <n v="76"/>
    <n v="4539.2700000000004"/>
    <n v="3.49E-2"/>
    <n v="3.1653944020356235"/>
  </r>
  <r>
    <d v="2024-10-18T00:00:00"/>
    <x v="3"/>
    <x v="2"/>
    <s v="holiday gift ideas under 50"/>
    <n v="7036"/>
    <n v="140"/>
    <n v="134.19999999999999"/>
    <n v="14"/>
    <n v="256.56"/>
    <n v="0.1"/>
    <n v="1.9897669130187607"/>
  </r>
  <r>
    <d v="2024-10-19T00:00:00"/>
    <x v="0"/>
    <x v="0"/>
    <s v="buy summer dress sale"/>
    <n v="27153"/>
    <n v="669"/>
    <n v="381.22"/>
    <n v="43"/>
    <n v="1245.6400000000001"/>
    <n v="6.4299999999999996E-2"/>
    <n v="2.4638161529112805"/>
  </r>
  <r>
    <d v="2024-10-19T00:00:00"/>
    <x v="0"/>
    <x v="1"/>
    <s v="buy summer dress sale"/>
    <n v="60588"/>
    <n v="2788"/>
    <n v="2880.54"/>
    <n v="202"/>
    <n v="7691.47"/>
    <n v="7.2499999999999995E-2"/>
    <n v="4.6015712682379348"/>
  </r>
  <r>
    <d v="2024-10-19T00:00:00"/>
    <x v="0"/>
    <x v="2"/>
    <s v="discount leather backpack"/>
    <n v="4077"/>
    <n v="241"/>
    <n v="55.68"/>
    <n v="3"/>
    <n v="139.77000000000001"/>
    <n v="1.24E-2"/>
    <n v="5.9112092224675008"/>
  </r>
  <r>
    <d v="2024-10-19T00:00:00"/>
    <x v="1"/>
    <x v="0"/>
    <s v="best wireless earbuds deals"/>
    <n v="29067"/>
    <n v="640"/>
    <n v="460.09"/>
    <n v="32"/>
    <n v="1506.73"/>
    <n v="0.05"/>
    <n v="2.2018096122750888"/>
  </r>
  <r>
    <d v="2024-10-19T00:00:00"/>
    <x v="1"/>
    <x v="1"/>
    <s v="discount leather backpack"/>
    <n v="65449"/>
    <n v="2424"/>
    <n v="2914.12"/>
    <n v="86"/>
    <n v="12483.19"/>
    <n v="3.5499999999999997E-2"/>
    <n v="3.7036471145472047"/>
  </r>
  <r>
    <d v="2024-10-19T00:00:00"/>
    <x v="1"/>
    <x v="2"/>
    <s v="best wireless earbuds deals"/>
    <n v="7865"/>
    <n v="248"/>
    <n v="380.26"/>
    <n v="2"/>
    <n v="880.33"/>
    <n v="8.0999999999999996E-3"/>
    <n v="3.1532104259376985"/>
  </r>
  <r>
    <d v="2024-10-19T00:00:00"/>
    <x v="2"/>
    <x v="0"/>
    <s v="best gaming laptop deals"/>
    <n v="16536"/>
    <n v="342"/>
    <n v="678.71"/>
    <n v="29"/>
    <n v="2143.6799999999998"/>
    <n v="8.48E-2"/>
    <n v="2.0682148040638606"/>
  </r>
  <r>
    <d v="2024-10-19T00:00:00"/>
    <x v="2"/>
    <x v="1"/>
    <s v="men leather jacket sale"/>
    <n v="51601"/>
    <n v="1074"/>
    <n v="4013.16"/>
    <n v="88"/>
    <n v="9178.99"/>
    <n v="8.1900000000000001E-2"/>
    <n v="2.081355012499758"/>
  </r>
  <r>
    <d v="2024-10-19T00:00:00"/>
    <x v="2"/>
    <x v="2"/>
    <s v="best gaming laptop deals"/>
    <n v="7371"/>
    <n v="134"/>
    <n v="145.63"/>
    <n v="12"/>
    <n v="416.56"/>
    <n v="8.9599999999999999E-2"/>
    <n v="1.8179351512684845"/>
  </r>
  <r>
    <d v="2024-10-19T00:00:00"/>
    <x v="3"/>
    <x v="0"/>
    <s v="winter boots discount"/>
    <n v="24409"/>
    <n v="695"/>
    <n v="706.84"/>
    <n v="21"/>
    <n v="2181.0100000000002"/>
    <n v="3.0200000000000001E-2"/>
    <n v="2.8473104182883362"/>
  </r>
  <r>
    <d v="2024-10-19T00:00:00"/>
    <x v="3"/>
    <x v="1"/>
    <s v="winter boots discount"/>
    <n v="59074"/>
    <n v="2892"/>
    <n v="4189.16"/>
    <n v="108"/>
    <n v="17780.310000000001"/>
    <n v="3.73E-2"/>
    <n v="4.8955547279683111"/>
  </r>
  <r>
    <d v="2024-10-19T00:00:00"/>
    <x v="3"/>
    <x v="2"/>
    <s v="winter boots discount"/>
    <n v="2646"/>
    <n v="160"/>
    <n v="260.86"/>
    <n v="6"/>
    <n v="853.74"/>
    <n v="3.7499999999999999E-2"/>
    <n v="6.0468631897203329"/>
  </r>
  <r>
    <d v="2024-10-20T00:00:00"/>
    <x v="0"/>
    <x v="0"/>
    <s v="discount leather backpack"/>
    <n v="13361"/>
    <n v="381"/>
    <n v="693.5"/>
    <n v="28"/>
    <n v="1639.91"/>
    <n v="7.3499999999999996E-2"/>
    <n v="2.8515829653469051"/>
  </r>
  <r>
    <d v="2024-10-20T00:00:00"/>
    <x v="0"/>
    <x v="1"/>
    <s v="kids educational toys sale"/>
    <n v="45921"/>
    <n v="2412"/>
    <n v="2775.63"/>
    <n v="154"/>
    <n v="3777.49"/>
    <n v="6.3799999999999996E-2"/>
    <n v="5.2524988567322142"/>
  </r>
  <r>
    <d v="2024-10-20T00:00:00"/>
    <x v="0"/>
    <x v="2"/>
    <s v="discount leather backpack"/>
    <n v="7036"/>
    <n v="161"/>
    <n v="146.09"/>
    <n v="2"/>
    <n v="216.97"/>
    <n v="1.24E-2"/>
    <n v="2.2882319499715744"/>
  </r>
  <r>
    <d v="2024-10-20T00:00:00"/>
    <x v="1"/>
    <x v="0"/>
    <s v="handmade ceramic mug buy now"/>
    <n v="21904"/>
    <n v="825"/>
    <n v="1261.32"/>
    <n v="53"/>
    <n v="2280.4"/>
    <n v="6.4199999999999993E-2"/>
    <n v="3.7664353542731921"/>
  </r>
  <r>
    <d v="2024-10-20T00:00:00"/>
    <x v="1"/>
    <x v="1"/>
    <s v="best wireless earbuds deals"/>
    <n v="44357"/>
    <n v="2738"/>
    <n v="3430.29"/>
    <n v="240"/>
    <n v="9827.98"/>
    <n v="8.77E-2"/>
    <n v="6.1726446784047617"/>
  </r>
  <r>
    <d v="2024-10-20T00:00:00"/>
    <x v="1"/>
    <x v="2"/>
    <s v="discount leather backpack"/>
    <n v="2550"/>
    <n v="110"/>
    <n v="322.48"/>
    <n v="12"/>
    <n v="830.76"/>
    <n v="0.1091"/>
    <n v="4.3137254901960782"/>
  </r>
  <r>
    <d v="2024-10-20T00:00:00"/>
    <x v="2"/>
    <x v="0"/>
    <s v="best gaming laptop deals"/>
    <n v="29827"/>
    <n v="457"/>
    <n v="1114.8699999999999"/>
    <n v="33"/>
    <n v="2913.88"/>
    <n v="7.22E-2"/>
    <n v="1.5321688403124687"/>
  </r>
  <r>
    <d v="2024-10-20T00:00:00"/>
    <x v="2"/>
    <x v="1"/>
    <s v="best gaming laptop deals"/>
    <n v="44023"/>
    <n v="2084"/>
    <n v="2467.8000000000002"/>
    <n v="120"/>
    <n v="9052.7099999999991"/>
    <n v="5.7599999999999998E-2"/>
    <n v="4.73388910342321"/>
  </r>
  <r>
    <d v="2024-10-20T00:00:00"/>
    <x v="2"/>
    <x v="2"/>
    <s v="wireless headphones discount"/>
    <n v="2929"/>
    <n v="56"/>
    <n v="307.49"/>
    <n v="16"/>
    <n v="973.95"/>
    <n v="0.28570000000000001"/>
    <n v="1.9119153294639808"/>
  </r>
  <r>
    <d v="2024-10-20T00:00:00"/>
    <x v="3"/>
    <x v="0"/>
    <s v="holiday gift ideas under 50"/>
    <n v="18577"/>
    <n v="566"/>
    <n v="1144.8499999999999"/>
    <n v="23"/>
    <n v="5708.44"/>
    <n v="4.0599999999999997E-2"/>
    <n v="3.0467782742100447"/>
  </r>
  <r>
    <d v="2024-10-20T00:00:00"/>
    <x v="3"/>
    <x v="1"/>
    <s v="new year party dress"/>
    <n v="67191"/>
    <n v="1409"/>
    <n v="1490.55"/>
    <n v="58"/>
    <n v="4349.07"/>
    <n v="4.1200000000000001E-2"/>
    <n v="2.0970070396332843"/>
  </r>
  <r>
    <d v="2024-10-20T00:00:00"/>
    <x v="3"/>
    <x v="2"/>
    <s v="winter boots discount"/>
    <n v="2719"/>
    <n v="224"/>
    <n v="388.65"/>
    <n v="11"/>
    <n v="1452.69"/>
    <n v="4.9099999999999998E-2"/>
    <n v="8.238322912835601"/>
  </r>
  <r>
    <d v="2024-10-21T00:00:00"/>
    <x v="0"/>
    <x v="0"/>
    <s v="buy summer dress sale"/>
    <n v="28022"/>
    <n v="855"/>
    <n v="648.42999999999995"/>
    <n v="29"/>
    <n v="2875.9"/>
    <n v="3.39E-2"/>
    <n v="3.0511740775105274"/>
  </r>
  <r>
    <d v="2024-10-21T00:00:00"/>
    <x v="0"/>
    <x v="1"/>
    <s v="men leather jacket sale"/>
    <n v="58690"/>
    <n v="2041"/>
    <n v="1896.97"/>
    <n v="91"/>
    <n v="7985.96"/>
    <n v="4.4600000000000001E-2"/>
    <n v="3.4775941386948372"/>
  </r>
  <r>
    <d v="2024-10-21T00:00:00"/>
    <x v="0"/>
    <x v="2"/>
    <s v="men leather jacket sale"/>
    <n v="6047"/>
    <n v="56"/>
    <n v="176.31"/>
    <n v="19"/>
    <n v="458.73"/>
    <n v="0.33929999999999999"/>
    <n v="0.92607904746155112"/>
  </r>
  <r>
    <d v="2024-10-21T00:00:00"/>
    <x v="1"/>
    <x v="0"/>
    <s v="discount leather backpack"/>
    <n v="12825"/>
    <n v="367"/>
    <n v="671.15"/>
    <n v="55"/>
    <n v="2638.76"/>
    <n v="0.14990000000000001"/>
    <n v="2.861598440545809"/>
  </r>
  <r>
    <d v="2024-10-21T00:00:00"/>
    <x v="1"/>
    <x v="1"/>
    <s v="handmade ceramic mug buy now"/>
    <n v="61832"/>
    <n v="2686"/>
    <n v="3299.6"/>
    <n v="72"/>
    <n v="16151.68"/>
    <n v="2.6800000000000001E-2"/>
    <n v="4.3440289817570195"/>
  </r>
  <r>
    <d v="2024-10-21T00:00:00"/>
    <x v="1"/>
    <x v="2"/>
    <s v="best wireless earbuds deals"/>
    <n v="5686"/>
    <n v="169"/>
    <n v="288.04000000000002"/>
    <n v="12"/>
    <n v="486.12"/>
    <n v="7.0999999999999994E-2"/>
    <n v="2.9722124516355959"/>
  </r>
  <r>
    <d v="2024-10-21T00:00:00"/>
    <x v="2"/>
    <x v="0"/>
    <s v="wireless headphones discount"/>
    <n v="14228"/>
    <n v="743"/>
    <n v="903.44"/>
    <n v="13"/>
    <n v="3938.35"/>
    <n v="1.7500000000000002E-2"/>
    <n v="5.2220972729828503"/>
  </r>
  <r>
    <d v="2024-10-21T00:00:00"/>
    <x v="2"/>
    <x v="1"/>
    <s v="wireless headphones discount"/>
    <n v="54931"/>
    <n v="1337"/>
    <n v="1647.87"/>
    <n v="221"/>
    <n v="3389.32"/>
    <n v="0.1653"/>
    <n v="2.4339626076350331"/>
  </r>
  <r>
    <d v="2024-10-21T00:00:00"/>
    <x v="2"/>
    <x v="2"/>
    <s v="4k smart TV discount"/>
    <n v="2646"/>
    <n v="114"/>
    <n v="118.71"/>
    <n v="18"/>
    <n v="266.26"/>
    <n v="0.15790000000000001"/>
    <n v="4.308390022675737"/>
  </r>
  <r>
    <d v="2024-10-21T00:00:00"/>
    <x v="3"/>
    <x v="0"/>
    <s v="new year party dress"/>
    <n v="27481"/>
    <n v="395"/>
    <n v="903.09"/>
    <n v="20"/>
    <n v="3114.64"/>
    <n v="5.0599999999999999E-2"/>
    <n v="1.4373567191878025"/>
  </r>
  <r>
    <d v="2024-10-21T00:00:00"/>
    <x v="3"/>
    <x v="1"/>
    <s v="christmas decor sale"/>
    <n v="46219"/>
    <n v="2349"/>
    <n v="3497.92"/>
    <n v="194"/>
    <n v="8685.18"/>
    <n v="8.2600000000000007E-2"/>
    <n v="5.0823254505722755"/>
  </r>
  <r>
    <d v="2024-10-21T00:00:00"/>
    <x v="3"/>
    <x v="2"/>
    <s v="holiday gift ideas under 50"/>
    <n v="2232"/>
    <n v="70"/>
    <n v="65.91"/>
    <n v="19"/>
    <n v="145.38"/>
    <n v="0.27139999999999997"/>
    <n v="3.1362007168458779"/>
  </r>
  <r>
    <d v="2024-10-22T00:00:00"/>
    <x v="0"/>
    <x v="0"/>
    <s v="men leather jacket sale"/>
    <n v="28747"/>
    <n v="726"/>
    <n v="1041.73"/>
    <n v="11"/>
    <n v="3221.6"/>
    <n v="1.52E-2"/>
    <n v="2.5254809197481474"/>
  </r>
  <r>
    <d v="2024-10-22T00:00:00"/>
    <x v="0"/>
    <x v="1"/>
    <s v="discount leather backpack"/>
    <n v="54798"/>
    <n v="1989"/>
    <n v="1979.51"/>
    <n v="246"/>
    <n v="7528.01"/>
    <n v="0.1237"/>
    <n v="3.6296945143983357"/>
  </r>
  <r>
    <d v="2024-10-22T00:00:00"/>
    <x v="0"/>
    <x v="2"/>
    <s v="discount leather backpack"/>
    <n v="5715"/>
    <n v="68"/>
    <n v="291.01"/>
    <n v="6"/>
    <n v="835.34"/>
    <n v="8.8200000000000001E-2"/>
    <n v="1.1898512685914262"/>
  </r>
  <r>
    <d v="2024-10-22T00:00:00"/>
    <x v="1"/>
    <x v="0"/>
    <s v="handmade ceramic mug buy now"/>
    <n v="25218"/>
    <n v="508"/>
    <n v="708.23"/>
    <n v="19"/>
    <n v="1691.12"/>
    <n v="3.7400000000000003E-2"/>
    <n v="2.0144341343484813"/>
  </r>
  <r>
    <d v="2024-10-22T00:00:00"/>
    <x v="1"/>
    <x v="1"/>
    <s v="organic coffee pods fast shipping"/>
    <n v="57634"/>
    <n v="2997"/>
    <n v="2594.87"/>
    <n v="234"/>
    <n v="6767.56"/>
    <n v="7.8100000000000003E-2"/>
    <n v="5.2000555227816916"/>
  </r>
  <r>
    <d v="2024-10-22T00:00:00"/>
    <x v="1"/>
    <x v="2"/>
    <s v="best wireless earbuds deals"/>
    <n v="4614"/>
    <n v="111"/>
    <n v="213.27"/>
    <n v="9"/>
    <n v="620.29"/>
    <n v="8.1100000000000005E-2"/>
    <n v="2.4057217165149547"/>
  </r>
  <r>
    <d v="2024-10-22T00:00:00"/>
    <x v="2"/>
    <x v="0"/>
    <s v="wireless headphones discount"/>
    <n v="13172"/>
    <n v="351"/>
    <n v="648.25"/>
    <n v="34"/>
    <n v="2906.64"/>
    <n v="9.69E-2"/>
    <n v="2.6647433950804738"/>
  </r>
  <r>
    <d v="2024-10-22T00:00:00"/>
    <x v="2"/>
    <x v="1"/>
    <s v="men leather jacket sale"/>
    <n v="51270"/>
    <n v="2971"/>
    <n v="4461.2299999999996"/>
    <n v="80"/>
    <n v="19144.099999999999"/>
    <n v="2.69E-2"/>
    <n v="5.7948117807684811"/>
  </r>
  <r>
    <d v="2024-10-22T00:00:00"/>
    <x v="2"/>
    <x v="2"/>
    <s v="4k smart TV discount"/>
    <n v="3555"/>
    <n v="245"/>
    <n v="105.77"/>
    <n v="17"/>
    <n v="314.55"/>
    <n v="6.9400000000000003E-2"/>
    <n v="6.8917018284106888"/>
  </r>
  <r>
    <d v="2024-10-22T00:00:00"/>
    <x v="3"/>
    <x v="0"/>
    <s v="new year party dress"/>
    <n v="26297"/>
    <n v="323"/>
    <n v="408.06"/>
    <n v="35"/>
    <n v="1273.43"/>
    <n v="0.1084"/>
    <n v="1.2282769897706962"/>
  </r>
  <r>
    <d v="2024-10-22T00:00:00"/>
    <x v="3"/>
    <x v="1"/>
    <s v="christmas decor sale"/>
    <n v="49099"/>
    <n v="2194"/>
    <n v="2411.58"/>
    <n v="52"/>
    <n v="5472.25"/>
    <n v="2.3699999999999999E-2"/>
    <n v="4.4685227805046948"/>
  </r>
  <r>
    <d v="2024-10-22T00:00:00"/>
    <x v="3"/>
    <x v="2"/>
    <s v="winter boots discount"/>
    <n v="4340"/>
    <n v="187"/>
    <n v="52.86"/>
    <n v="4"/>
    <n v="149.99"/>
    <n v="2.1399999999999999E-2"/>
    <n v="4.3087557603686637"/>
  </r>
  <r>
    <d v="2024-10-23T00:00:00"/>
    <x v="0"/>
    <x v="0"/>
    <s v="discount leather backpack"/>
    <n v="21985"/>
    <n v="712"/>
    <n v="739.12"/>
    <n v="35"/>
    <n v="1030.6300000000001"/>
    <n v="4.9200000000000001E-2"/>
    <n v="3.2385717534682739"/>
  </r>
  <r>
    <d v="2024-10-23T00:00:00"/>
    <x v="0"/>
    <x v="1"/>
    <s v="men leather jacket sale"/>
    <n v="58758"/>
    <n v="2133"/>
    <n v="2154.41"/>
    <n v="138"/>
    <n v="6713.51"/>
    <n v="6.4699999999999994E-2"/>
    <n v="3.6301439803941591"/>
  </r>
  <r>
    <d v="2024-10-23T00:00:00"/>
    <x v="0"/>
    <x v="2"/>
    <s v="discount leather backpack"/>
    <n v="7105"/>
    <n v="224"/>
    <n v="263.87"/>
    <n v="5"/>
    <n v="1294.3699999999999"/>
    <n v="2.23E-2"/>
    <n v="3.152709359605911"/>
  </r>
  <r>
    <d v="2024-10-23T00:00:00"/>
    <x v="1"/>
    <x v="0"/>
    <s v="handmade ceramic mug buy now"/>
    <n v="22228"/>
    <n v="647"/>
    <n v="969.4"/>
    <n v="33"/>
    <n v="3944.36"/>
    <n v="5.0999999999999997E-2"/>
    <n v="2.9107432067662411"/>
  </r>
  <r>
    <d v="2024-10-23T00:00:00"/>
    <x v="1"/>
    <x v="1"/>
    <s v="discount leather backpack"/>
    <n v="68365"/>
    <n v="1822"/>
    <n v="3000.31"/>
    <n v="51"/>
    <n v="4044.04"/>
    <n v="2.8000000000000001E-2"/>
    <n v="2.6651064141007828"/>
  </r>
  <r>
    <d v="2024-10-23T00:00:00"/>
    <x v="1"/>
    <x v="2"/>
    <s v="organic coffee pods fast shipping"/>
    <n v="5880"/>
    <n v="182"/>
    <n v="209.95"/>
    <n v="20"/>
    <n v="964.49"/>
    <n v="0.1099"/>
    <n v="3.0952380952380953"/>
  </r>
  <r>
    <d v="2024-10-23T00:00:00"/>
    <x v="2"/>
    <x v="0"/>
    <s v="wireless headphones discount"/>
    <n v="20746"/>
    <n v="626"/>
    <n v="495"/>
    <n v="49"/>
    <n v="1984.66"/>
    <n v="7.8299999999999995E-2"/>
    <n v="3.0174491468234841"/>
  </r>
  <r>
    <d v="2024-10-23T00:00:00"/>
    <x v="2"/>
    <x v="1"/>
    <s v="4k smart TV discount"/>
    <n v="57044"/>
    <n v="2038"/>
    <n v="4313.16"/>
    <n v="176"/>
    <n v="13204.38"/>
    <n v="8.6400000000000005E-2"/>
    <n v="3.5726807376761793"/>
  </r>
  <r>
    <d v="2024-10-23T00:00:00"/>
    <x v="2"/>
    <x v="2"/>
    <s v="4k smart TV discount"/>
    <n v="5890"/>
    <n v="54"/>
    <n v="178.93"/>
    <n v="4"/>
    <n v="880.98"/>
    <n v="7.4099999999999999E-2"/>
    <n v="0.91680814940577249"/>
  </r>
  <r>
    <d v="2024-10-23T00:00:00"/>
    <x v="3"/>
    <x v="0"/>
    <s v="new year party dress"/>
    <n v="10873"/>
    <n v="785"/>
    <n v="618.64"/>
    <n v="51"/>
    <n v="2582.84"/>
    <n v="6.5000000000000002E-2"/>
    <n v="7.2197185689322181"/>
  </r>
  <r>
    <d v="2024-10-23T00:00:00"/>
    <x v="3"/>
    <x v="1"/>
    <s v="christmas decor sale"/>
    <n v="38365"/>
    <n v="2195"/>
    <n v="2921.8"/>
    <n v="174"/>
    <n v="10490.13"/>
    <n v="7.9299999999999995E-2"/>
    <n v="5.721360615144012"/>
  </r>
  <r>
    <d v="2024-10-23T00:00:00"/>
    <x v="3"/>
    <x v="2"/>
    <s v="winter boots discount"/>
    <n v="3210"/>
    <n v="224"/>
    <n v="134.77000000000001"/>
    <n v="19"/>
    <n v="647.32000000000005"/>
    <n v="8.48E-2"/>
    <n v="6.9781931464174454"/>
  </r>
  <r>
    <d v="2024-10-24T00:00:00"/>
    <x v="0"/>
    <x v="0"/>
    <s v="buy summer dress sale"/>
    <n v="16251"/>
    <n v="319"/>
    <n v="829.25"/>
    <n v="36"/>
    <n v="1472.28"/>
    <n v="0.1129"/>
    <n v="1.9629561257768751"/>
  </r>
  <r>
    <d v="2024-10-24T00:00:00"/>
    <x v="0"/>
    <x v="1"/>
    <s v="men leather jacket sale"/>
    <n v="61894"/>
    <n v="2027"/>
    <n v="4099.8900000000003"/>
    <n v="160"/>
    <n v="18518"/>
    <n v="7.8899999999999998E-2"/>
    <n v="3.2749539535334602"/>
  </r>
  <r>
    <d v="2024-10-24T00:00:00"/>
    <x v="0"/>
    <x v="2"/>
    <s v="buy summer dress sale"/>
    <n v="7781"/>
    <n v="85"/>
    <n v="231.54"/>
    <n v="18"/>
    <n v="563.84"/>
    <n v="0.21179999999999999"/>
    <n v="1.0924045752473976"/>
  </r>
  <r>
    <d v="2024-10-24T00:00:00"/>
    <x v="1"/>
    <x v="0"/>
    <s v="handmade ceramic mug buy now"/>
    <n v="27218"/>
    <n v="685"/>
    <n v="676.5"/>
    <n v="21"/>
    <n v="1993.46"/>
    <n v="3.0700000000000002E-2"/>
    <n v="2.516716878536263"/>
  </r>
  <r>
    <d v="2024-10-24T00:00:00"/>
    <x v="1"/>
    <x v="1"/>
    <s v="organic coffee pods fast shipping"/>
    <n v="58218"/>
    <n v="2384"/>
    <n v="4087.96"/>
    <n v="224"/>
    <n v="15480.43"/>
    <n v="9.4E-2"/>
    <n v="4.0949534508227696"/>
  </r>
  <r>
    <d v="2024-10-24T00:00:00"/>
    <x v="1"/>
    <x v="2"/>
    <s v="organic coffee pods fast shipping"/>
    <n v="6997"/>
    <n v="173"/>
    <n v="117.29"/>
    <n v="8"/>
    <n v="265.10000000000002"/>
    <n v="4.6199999999999998E-2"/>
    <n v="2.4724882092325284"/>
  </r>
  <r>
    <d v="2024-10-24T00:00:00"/>
    <x v="2"/>
    <x v="0"/>
    <s v="4k smart TV discount"/>
    <n v="17368"/>
    <n v="604"/>
    <n v="1225.4100000000001"/>
    <n v="55"/>
    <n v="2435.69"/>
    <n v="9.11E-2"/>
    <n v="3.477660064486412"/>
  </r>
  <r>
    <d v="2024-10-24T00:00:00"/>
    <x v="2"/>
    <x v="1"/>
    <s v="men leather jacket sale"/>
    <n v="55777"/>
    <n v="1982"/>
    <n v="2395.21"/>
    <n v="243"/>
    <n v="9442.7000000000007"/>
    <n v="0.1226"/>
    <n v="3.5534360040877067"/>
  </r>
  <r>
    <d v="2024-10-24T00:00:00"/>
    <x v="2"/>
    <x v="2"/>
    <s v="4k smart TV discount"/>
    <n v="2998"/>
    <n v="196"/>
    <n v="286.82"/>
    <n v="13"/>
    <n v="1320.49"/>
    <n v="6.6299999999999998E-2"/>
    <n v="6.5376917945296862"/>
  </r>
  <r>
    <d v="2024-10-24T00:00:00"/>
    <x v="3"/>
    <x v="0"/>
    <s v="winter boots discount"/>
    <n v="21309"/>
    <n v="449"/>
    <n v="648.54"/>
    <n v="28"/>
    <n v="3132.57"/>
    <n v="6.2399999999999997E-2"/>
    <n v="2.1070909005584495"/>
  </r>
  <r>
    <d v="2024-10-24T00:00:00"/>
    <x v="3"/>
    <x v="1"/>
    <s v="holiday gift ideas under 50"/>
    <n v="57699"/>
    <n v="2892"/>
    <n v="2769.5"/>
    <n v="105"/>
    <n v="11188.47"/>
    <n v="3.6299999999999999E-2"/>
    <n v="5.0122185826444134"/>
  </r>
  <r>
    <d v="2024-10-24T00:00:00"/>
    <x v="3"/>
    <x v="2"/>
    <s v="christmas decor sale"/>
    <n v="3655"/>
    <n v="187"/>
    <n v="144.9"/>
    <n v="18"/>
    <n v="557.21"/>
    <n v="9.6299999999999997E-2"/>
    <n v="5.1162790697674421"/>
  </r>
  <r>
    <d v="2024-10-25T00:00:00"/>
    <x v="0"/>
    <x v="0"/>
    <s v="men leather jacket sale"/>
    <n v="13579"/>
    <n v="900"/>
    <n v="587.14"/>
    <n v="13"/>
    <n v="2199.06"/>
    <n v="1.44E-2"/>
    <n v="6.6278812872818325"/>
  </r>
  <r>
    <d v="2024-10-25T00:00:00"/>
    <x v="0"/>
    <x v="1"/>
    <s v="men leather jacket sale"/>
    <n v="50259"/>
    <n v="1107"/>
    <n v="1400.79"/>
    <n v="124"/>
    <n v="5499.45"/>
    <n v="0.112"/>
    <n v="2.2025905807915001"/>
  </r>
  <r>
    <d v="2024-10-25T00:00:00"/>
    <x v="0"/>
    <x v="2"/>
    <s v="buy summer dress sale"/>
    <n v="7580"/>
    <n v="247"/>
    <n v="98.11"/>
    <n v="18"/>
    <n v="482.31"/>
    <n v="7.2900000000000006E-2"/>
    <n v="3.2585751978891819"/>
  </r>
  <r>
    <d v="2024-10-25T00:00:00"/>
    <x v="1"/>
    <x v="0"/>
    <s v="discount leather backpack"/>
    <n v="23333"/>
    <n v="787"/>
    <n v="872.94"/>
    <n v="22"/>
    <n v="3555.02"/>
    <n v="2.8000000000000001E-2"/>
    <n v="3.3729053272189606"/>
  </r>
  <r>
    <d v="2024-10-25T00:00:00"/>
    <x v="1"/>
    <x v="1"/>
    <s v="organic coffee pods fast shipping"/>
    <n v="56048"/>
    <n v="1584"/>
    <n v="3583.59"/>
    <n v="236"/>
    <n v="5518.55"/>
    <n v="0.14899999999999999"/>
    <n v="2.8261490151298885"/>
  </r>
  <r>
    <d v="2024-10-25T00:00:00"/>
    <x v="1"/>
    <x v="2"/>
    <s v="discount leather backpack"/>
    <n v="6383"/>
    <n v="239"/>
    <n v="303.08999999999997"/>
    <n v="2"/>
    <n v="1415.51"/>
    <n v="8.3999999999999995E-3"/>
    <n v="3.7443208522638258"/>
  </r>
  <r>
    <d v="2024-10-25T00:00:00"/>
    <x v="2"/>
    <x v="0"/>
    <s v="wireless headphones discount"/>
    <n v="23693"/>
    <n v="480"/>
    <n v="1420.71"/>
    <n v="12"/>
    <n v="7088.28"/>
    <n v="2.5000000000000001E-2"/>
    <n v="2.0259148271641414"/>
  </r>
  <r>
    <d v="2024-10-25T00:00:00"/>
    <x v="2"/>
    <x v="1"/>
    <s v="men leather jacket sale"/>
    <n v="67465"/>
    <n v="1381"/>
    <n v="4746.43"/>
    <n v="114"/>
    <n v="21509.040000000001"/>
    <n v="8.2500000000000004E-2"/>
    <n v="2.0469873267620247"/>
  </r>
  <r>
    <d v="2024-10-25T00:00:00"/>
    <x v="2"/>
    <x v="2"/>
    <s v="best gaming laptop deals"/>
    <n v="4444"/>
    <n v="195"/>
    <n v="260.97000000000003"/>
    <n v="11"/>
    <n v="595.36"/>
    <n v="5.6399999999999999E-2"/>
    <n v="4.3879387938793881"/>
  </r>
  <r>
    <d v="2024-10-25T00:00:00"/>
    <x v="3"/>
    <x v="0"/>
    <s v="winter boots discount"/>
    <n v="14397"/>
    <n v="816"/>
    <n v="861.62"/>
    <n v="22"/>
    <n v="3682.13"/>
    <n v="2.7E-2"/>
    <n v="5.6678474682225461"/>
  </r>
  <r>
    <d v="2024-10-25T00:00:00"/>
    <x v="3"/>
    <x v="1"/>
    <s v="new year party dress"/>
    <n v="45649"/>
    <n v="2497"/>
    <n v="2835.66"/>
    <n v="105"/>
    <n v="11146.05"/>
    <n v="4.2099999999999999E-2"/>
    <n v="5.4699993428114526"/>
  </r>
  <r>
    <d v="2024-10-25T00:00:00"/>
    <x v="3"/>
    <x v="2"/>
    <s v="holiday gift ideas under 50"/>
    <n v="4761"/>
    <n v="125"/>
    <n v="248.72"/>
    <n v="7"/>
    <n v="464.33"/>
    <n v="5.6000000000000001E-2"/>
    <n v="2.6254988447805085"/>
  </r>
  <r>
    <d v="2024-10-26T00:00:00"/>
    <x v="0"/>
    <x v="0"/>
    <s v="kids educational toys sale"/>
    <n v="24014"/>
    <n v="827"/>
    <n v="693.51"/>
    <n v="35"/>
    <n v="2595.9299999999998"/>
    <n v="4.2299999999999997E-2"/>
    <n v="3.4438244357458148"/>
  </r>
  <r>
    <d v="2024-10-26T00:00:00"/>
    <x v="0"/>
    <x v="1"/>
    <s v="men leather jacket sale"/>
    <n v="44215"/>
    <n v="1977"/>
    <n v="2294.41"/>
    <n v="103"/>
    <n v="2812.84"/>
    <n v="5.21E-2"/>
    <n v="4.4713332579441367"/>
  </r>
  <r>
    <d v="2024-10-26T00:00:00"/>
    <x v="0"/>
    <x v="2"/>
    <s v="kids educational toys sale"/>
    <n v="3929"/>
    <n v="164"/>
    <n v="313.81"/>
    <n v="11"/>
    <n v="736.64"/>
    <n v="6.7100000000000007E-2"/>
    <n v="4.1740900992618988"/>
  </r>
  <r>
    <d v="2024-10-26T00:00:00"/>
    <x v="1"/>
    <x v="0"/>
    <s v="best wireless earbuds deals"/>
    <n v="18570"/>
    <n v="668"/>
    <n v="1131.32"/>
    <n v="13"/>
    <n v="4228.41"/>
    <n v="1.95E-2"/>
    <n v="3.5971997845988155"/>
  </r>
  <r>
    <d v="2024-10-26T00:00:00"/>
    <x v="1"/>
    <x v="1"/>
    <s v="handmade ceramic mug buy now"/>
    <n v="55106"/>
    <n v="1327"/>
    <n v="2621.67"/>
    <n v="168"/>
    <n v="12342.31"/>
    <n v="0.12659999999999999"/>
    <n v="2.4080862338039415"/>
  </r>
  <r>
    <d v="2024-10-26T00:00:00"/>
    <x v="1"/>
    <x v="2"/>
    <s v="organic coffee pods fast shipping"/>
    <n v="7654"/>
    <n v="80"/>
    <n v="273.55"/>
    <n v="10"/>
    <n v="710.32"/>
    <n v="0.125"/>
    <n v="1.0452051215050953"/>
  </r>
  <r>
    <d v="2024-10-26T00:00:00"/>
    <x v="2"/>
    <x v="0"/>
    <s v="wireless headphones discount"/>
    <n v="17180"/>
    <n v="436"/>
    <n v="873.82"/>
    <n v="39"/>
    <n v="3531.45"/>
    <n v="8.9399999999999993E-2"/>
    <n v="2.5378346915017462"/>
  </r>
  <r>
    <d v="2024-10-26T00:00:00"/>
    <x v="2"/>
    <x v="1"/>
    <s v="4k smart TV discount"/>
    <n v="62252"/>
    <n v="2437"/>
    <n v="3196.94"/>
    <n v="160"/>
    <n v="13036.9"/>
    <n v="6.5699999999999995E-2"/>
    <n v="3.9147336631754808"/>
  </r>
  <r>
    <d v="2024-10-26T00:00:00"/>
    <x v="2"/>
    <x v="2"/>
    <s v="wireless headphones discount"/>
    <n v="4027"/>
    <n v="224"/>
    <n v="314.16000000000003"/>
    <n v="3"/>
    <n v="1004.35"/>
    <n v="1.34E-2"/>
    <n v="5.5624534392848268"/>
  </r>
  <r>
    <d v="2024-10-26T00:00:00"/>
    <x v="3"/>
    <x v="0"/>
    <s v="new year party dress"/>
    <n v="12559"/>
    <n v="877"/>
    <n v="434.65"/>
    <n v="45"/>
    <n v="2012.85"/>
    <n v="5.1299999999999998E-2"/>
    <n v="6.9830400509594712"/>
  </r>
  <r>
    <d v="2024-10-26T00:00:00"/>
    <x v="3"/>
    <x v="1"/>
    <s v="christmas decor sale"/>
    <n v="44820"/>
    <n v="1336"/>
    <n v="2312.4699999999998"/>
    <n v="173"/>
    <n v="6657.59"/>
    <n v="0.1295"/>
    <n v="2.9808121374386434"/>
  </r>
  <r>
    <d v="2024-10-26T00:00:00"/>
    <x v="3"/>
    <x v="2"/>
    <s v="christmas decor sale"/>
    <n v="7872"/>
    <n v="199"/>
    <n v="221.09"/>
    <n v="17"/>
    <n v="639.58000000000004"/>
    <n v="8.5400000000000004E-2"/>
    <n v="2.5279471544715446"/>
  </r>
  <r>
    <d v="2024-10-27T00:00:00"/>
    <x v="0"/>
    <x v="0"/>
    <s v="buy summer dress sale"/>
    <n v="24858"/>
    <n v="435"/>
    <n v="915.9"/>
    <n v="39"/>
    <n v="3061.73"/>
    <n v="8.9700000000000002E-2"/>
    <n v="1.749939657253198"/>
  </r>
  <r>
    <d v="2024-10-27T00:00:00"/>
    <x v="0"/>
    <x v="1"/>
    <s v="kids educational toys sale"/>
    <n v="55196"/>
    <n v="2481"/>
    <n v="1087.08"/>
    <n v="105"/>
    <n v="4677.1899999999996"/>
    <n v="4.2299999999999997E-2"/>
    <n v="4.494890934125662"/>
  </r>
  <r>
    <d v="2024-10-27T00:00:00"/>
    <x v="0"/>
    <x v="2"/>
    <s v="men leather jacket sale"/>
    <n v="6737"/>
    <n v="68"/>
    <n v="65.849999999999994"/>
    <n v="12"/>
    <n v="254.28"/>
    <n v="0.17649999999999999"/>
    <n v="1.0093513433278907"/>
  </r>
  <r>
    <d v="2024-10-27T00:00:00"/>
    <x v="1"/>
    <x v="0"/>
    <s v="best wireless earbuds deals"/>
    <n v="12261"/>
    <n v="783"/>
    <n v="338.08"/>
    <n v="36"/>
    <n v="636.91999999999996"/>
    <n v="4.5999999999999999E-2"/>
    <n v="6.3861022755077075"/>
  </r>
  <r>
    <d v="2024-10-27T00:00:00"/>
    <x v="1"/>
    <x v="1"/>
    <s v="discount leather backpack"/>
    <n v="62548"/>
    <n v="1766"/>
    <n v="4971.43"/>
    <n v="137"/>
    <n v="14439.23"/>
    <n v="7.7600000000000002E-2"/>
    <n v="2.8234316045277228"/>
  </r>
  <r>
    <d v="2024-10-27T00:00:00"/>
    <x v="1"/>
    <x v="2"/>
    <s v="handmade ceramic mug buy now"/>
    <n v="5077"/>
    <n v="70"/>
    <n v="288.95999999999998"/>
    <n v="18"/>
    <n v="492.78"/>
    <n v="0.2571"/>
    <n v="1.3787669883789639"/>
  </r>
  <r>
    <d v="2024-10-27T00:00:00"/>
    <x v="2"/>
    <x v="0"/>
    <s v="4k smart TV discount"/>
    <n v="13887"/>
    <n v="482"/>
    <n v="1491.42"/>
    <n v="35"/>
    <n v="4786.8599999999997"/>
    <n v="7.2599999999999998E-2"/>
    <n v="3.4708720385972494"/>
  </r>
  <r>
    <d v="2024-10-27T00:00:00"/>
    <x v="2"/>
    <x v="1"/>
    <s v="wireless headphones discount"/>
    <n v="35227"/>
    <n v="2548"/>
    <n v="1090.94"/>
    <n v="116"/>
    <n v="3228.54"/>
    <n v="4.5499999999999999E-2"/>
    <n v="7.2330882561671448"/>
  </r>
  <r>
    <d v="2024-10-27T00:00:00"/>
    <x v="2"/>
    <x v="2"/>
    <s v="men leather jacket sale"/>
    <n v="6357"/>
    <n v="147"/>
    <n v="338.18"/>
    <n v="8"/>
    <n v="997.76"/>
    <n v="5.4399999999999997E-2"/>
    <n v="2.3124115148655027"/>
  </r>
  <r>
    <d v="2024-10-27T00:00:00"/>
    <x v="3"/>
    <x v="0"/>
    <s v="christmas decor sale"/>
    <n v="19032"/>
    <n v="493"/>
    <n v="1424.89"/>
    <n v="56"/>
    <n v="5854.68"/>
    <n v="0.11360000000000001"/>
    <n v="2.5903741067675496"/>
  </r>
  <r>
    <d v="2024-10-27T00:00:00"/>
    <x v="3"/>
    <x v="1"/>
    <s v="holiday gift ideas under 50"/>
    <n v="62475"/>
    <n v="2259"/>
    <n v="4064.21"/>
    <n v="44"/>
    <n v="8593.9"/>
    <n v="1.95E-2"/>
    <n v="3.6158463385354138"/>
  </r>
  <r>
    <d v="2024-10-27T00:00:00"/>
    <x v="3"/>
    <x v="2"/>
    <s v="holiday gift ideas under 50"/>
    <n v="2826"/>
    <n v="202"/>
    <n v="61.75"/>
    <n v="20"/>
    <n v="231.79"/>
    <n v="9.9000000000000005E-2"/>
    <n v="7.1479122434536437"/>
  </r>
  <r>
    <d v="2024-10-28T00:00:00"/>
    <x v="0"/>
    <x v="0"/>
    <s v="buy summer dress sale"/>
    <n v="18019"/>
    <n v="345"/>
    <n v="782.72"/>
    <n v="24"/>
    <n v="2544.69"/>
    <n v="6.9599999999999995E-2"/>
    <n v="1.9146456518119761"/>
  </r>
  <r>
    <d v="2024-10-28T00:00:00"/>
    <x v="0"/>
    <x v="1"/>
    <s v="buy summer dress sale"/>
    <n v="44183"/>
    <n v="2031"/>
    <n v="4973.93"/>
    <n v="99"/>
    <n v="21387.84"/>
    <n v="4.87E-2"/>
    <n v="4.5967906208270151"/>
  </r>
  <r>
    <d v="2024-10-28T00:00:00"/>
    <x v="0"/>
    <x v="2"/>
    <s v="discount leather backpack"/>
    <n v="6730"/>
    <n v="203"/>
    <n v="320.39"/>
    <n v="11"/>
    <n v="672.89"/>
    <n v="5.4199999999999998E-2"/>
    <n v="3.0163447251114412"/>
  </r>
  <r>
    <d v="2024-10-28T00:00:00"/>
    <x v="1"/>
    <x v="0"/>
    <s v="discount leather backpack"/>
    <n v="27080"/>
    <n v="526"/>
    <n v="796.27"/>
    <n v="27"/>
    <n v="1139.97"/>
    <n v="5.1299999999999998E-2"/>
    <n v="1.9423929098966026"/>
  </r>
  <r>
    <d v="2024-10-28T00:00:00"/>
    <x v="1"/>
    <x v="1"/>
    <s v="discount leather backpack"/>
    <n v="62997"/>
    <n v="2138"/>
    <n v="2982.48"/>
    <n v="128"/>
    <n v="14250.37"/>
    <n v="5.9900000000000002E-2"/>
    <n v="3.3938124037652591"/>
  </r>
  <r>
    <d v="2024-10-28T00:00:00"/>
    <x v="1"/>
    <x v="2"/>
    <s v="handmade ceramic mug buy now"/>
    <n v="6296"/>
    <n v="131"/>
    <n v="293.70999999999998"/>
    <n v="14"/>
    <n v="518.99"/>
    <n v="0.1069"/>
    <n v="2.0806861499364677"/>
  </r>
  <r>
    <d v="2024-10-28T00:00:00"/>
    <x v="2"/>
    <x v="0"/>
    <s v="men leather jacket sale"/>
    <n v="16025"/>
    <n v="850"/>
    <n v="868.22"/>
    <n v="24"/>
    <n v="2034.06"/>
    <n v="2.8199999999999999E-2"/>
    <n v="5.3042121684867398"/>
  </r>
  <r>
    <d v="2024-10-28T00:00:00"/>
    <x v="2"/>
    <x v="1"/>
    <s v="wireless headphones discount"/>
    <n v="65344"/>
    <n v="2873"/>
    <n v="1230.5"/>
    <n v="145"/>
    <n v="6001.87"/>
    <n v="5.0500000000000003E-2"/>
    <n v="4.396731145935358"/>
  </r>
  <r>
    <d v="2024-10-28T00:00:00"/>
    <x v="2"/>
    <x v="2"/>
    <s v="wireless headphones discount"/>
    <n v="5181"/>
    <n v="112"/>
    <n v="139.25"/>
    <n v="11"/>
    <n v="509.3"/>
    <n v="9.8199999999999996E-2"/>
    <n v="2.1617448369040728"/>
  </r>
  <r>
    <d v="2024-10-28T00:00:00"/>
    <x v="3"/>
    <x v="0"/>
    <s v="winter boots discount"/>
    <n v="22159"/>
    <n v="394"/>
    <n v="942.76"/>
    <n v="22"/>
    <n v="1315.94"/>
    <n v="5.5800000000000002E-2"/>
    <n v="1.7780585766505708"/>
  </r>
  <r>
    <d v="2024-10-28T00:00:00"/>
    <x v="3"/>
    <x v="1"/>
    <s v="winter boots discount"/>
    <n v="37591"/>
    <n v="2789"/>
    <n v="1291.1400000000001"/>
    <n v="245"/>
    <n v="5286.5"/>
    <n v="8.7800000000000003E-2"/>
    <n v="7.4193290947301218"/>
  </r>
  <r>
    <d v="2024-10-28T00:00:00"/>
    <x v="3"/>
    <x v="2"/>
    <s v="christmas decor sale"/>
    <n v="5927"/>
    <n v="103"/>
    <n v="354.32"/>
    <n v="11"/>
    <n v="833.4"/>
    <n v="0.10680000000000001"/>
    <n v="1.7378100219335244"/>
  </r>
  <r>
    <d v="2024-10-29T00:00:00"/>
    <x v="0"/>
    <x v="0"/>
    <s v="buy summer dress sale"/>
    <n v="16940"/>
    <n v="494"/>
    <n v="1454.49"/>
    <n v="17"/>
    <n v="5873.44"/>
    <n v="3.44E-2"/>
    <n v="2.9161747343565523"/>
  </r>
  <r>
    <d v="2024-10-29T00:00:00"/>
    <x v="0"/>
    <x v="1"/>
    <s v="kids educational toys sale"/>
    <n v="50898"/>
    <n v="2424"/>
    <n v="3417.61"/>
    <n v="92"/>
    <n v="9252.16"/>
    <n v="3.7999999999999999E-2"/>
    <n v="4.7624661086879643"/>
  </r>
  <r>
    <d v="2024-10-29T00:00:00"/>
    <x v="0"/>
    <x v="2"/>
    <s v="men leather jacket sale"/>
    <n v="6522"/>
    <n v="132"/>
    <n v="321.43"/>
    <n v="13"/>
    <n v="955.21"/>
    <n v="9.8500000000000004E-2"/>
    <n v="2.0239190432382701"/>
  </r>
  <r>
    <d v="2024-10-29T00:00:00"/>
    <x v="1"/>
    <x v="0"/>
    <s v="organic coffee pods fast shipping"/>
    <n v="20106"/>
    <n v="567"/>
    <n v="731.57"/>
    <n v="41"/>
    <n v="2173.36"/>
    <n v="7.2300000000000003E-2"/>
    <n v="2.820053715308863"/>
  </r>
  <r>
    <d v="2024-10-29T00:00:00"/>
    <x v="1"/>
    <x v="1"/>
    <s v="handmade ceramic mug buy now"/>
    <n v="55986"/>
    <n v="2872"/>
    <n v="1812.51"/>
    <n v="120"/>
    <n v="5025.97"/>
    <n v="4.1799999999999997E-2"/>
    <n v="5.1298538920444399"/>
  </r>
  <r>
    <d v="2024-10-29T00:00:00"/>
    <x v="1"/>
    <x v="2"/>
    <s v="discount leather backpack"/>
    <n v="3195"/>
    <n v="54"/>
    <n v="141.27000000000001"/>
    <n v="19"/>
    <n v="480.42"/>
    <n v="0.35189999999999999"/>
    <n v="1.6901408450704223"/>
  </r>
  <r>
    <d v="2024-10-29T00:00:00"/>
    <x v="2"/>
    <x v="0"/>
    <s v="men leather jacket sale"/>
    <n v="19672"/>
    <n v="456"/>
    <n v="535.42999999999995"/>
    <n v="24"/>
    <n v="1415.35"/>
    <n v="5.2600000000000001E-2"/>
    <n v="2.318015453436356"/>
  </r>
  <r>
    <d v="2024-10-29T00:00:00"/>
    <x v="2"/>
    <x v="1"/>
    <s v="wireless headphones discount"/>
    <n v="67722"/>
    <n v="2127"/>
    <n v="3618.43"/>
    <n v="215"/>
    <n v="8983.64"/>
    <n v="0.1011"/>
    <n v="3.1407814299636754"/>
  </r>
  <r>
    <d v="2024-10-29T00:00:00"/>
    <x v="2"/>
    <x v="2"/>
    <s v="men leather jacket sale"/>
    <n v="7927"/>
    <n v="214"/>
    <n v="308.86"/>
    <n v="15"/>
    <n v="568.08000000000004"/>
    <n v="7.0099999999999996E-2"/>
    <n v="2.6996341617257475"/>
  </r>
  <r>
    <d v="2024-10-29T00:00:00"/>
    <x v="3"/>
    <x v="0"/>
    <s v="new year party dress"/>
    <n v="15546"/>
    <n v="443"/>
    <n v="1164.3800000000001"/>
    <n v="41"/>
    <n v="2211.6"/>
    <n v="9.2600000000000002E-2"/>
    <n v="2.8496076161070372"/>
  </r>
  <r>
    <d v="2024-10-29T00:00:00"/>
    <x v="3"/>
    <x v="1"/>
    <s v="holiday gift ideas under 50"/>
    <n v="69337"/>
    <n v="1069"/>
    <n v="4356.2700000000004"/>
    <n v="59"/>
    <n v="20874"/>
    <n v="5.5199999999999999E-2"/>
    <n v="1.5417453884650332"/>
  </r>
  <r>
    <d v="2024-10-29T00:00:00"/>
    <x v="3"/>
    <x v="2"/>
    <s v="holiday gift ideas under 50"/>
    <n v="2052"/>
    <n v="155"/>
    <n v="98.12"/>
    <n v="8"/>
    <n v="143.09"/>
    <n v="5.16E-2"/>
    <n v="7.5536062378167639"/>
  </r>
  <r>
    <d v="2024-10-30T00:00:00"/>
    <x v="0"/>
    <x v="0"/>
    <s v="men leather jacket sale"/>
    <n v="10299"/>
    <n v="523"/>
    <n v="906.88"/>
    <n v="33"/>
    <n v="1296.58"/>
    <n v="6.3100000000000003E-2"/>
    <n v="5.0781629284396539"/>
  </r>
  <r>
    <d v="2024-10-30T00:00:00"/>
    <x v="0"/>
    <x v="1"/>
    <s v="kids educational toys sale"/>
    <n v="66972"/>
    <n v="1032"/>
    <n v="1026.45"/>
    <n v="181"/>
    <n v="2836.17"/>
    <n v="0.1754"/>
    <n v="1.5409424834259093"/>
  </r>
  <r>
    <d v="2024-10-30T00:00:00"/>
    <x v="0"/>
    <x v="2"/>
    <s v="buy summer dress sale"/>
    <n v="6336"/>
    <n v="234"/>
    <n v="146.16"/>
    <n v="10"/>
    <n v="184.91"/>
    <n v="4.2700000000000002E-2"/>
    <n v="3.6931818181818183"/>
  </r>
  <r>
    <d v="2024-10-30T00:00:00"/>
    <x v="1"/>
    <x v="0"/>
    <s v="handmade ceramic mug buy now"/>
    <n v="15874"/>
    <n v="409"/>
    <n v="1401.66"/>
    <n v="43"/>
    <n v="2475.0700000000002"/>
    <n v="0.1051"/>
    <n v="2.5765402545042209"/>
  </r>
  <r>
    <d v="2024-10-30T00:00:00"/>
    <x v="1"/>
    <x v="1"/>
    <s v="discount leather backpack"/>
    <n v="69501"/>
    <n v="1516"/>
    <n v="4260.8599999999997"/>
    <n v="108"/>
    <n v="17984.060000000001"/>
    <n v="7.1199999999999999E-2"/>
    <n v="2.18126357894131"/>
  </r>
  <r>
    <d v="2024-10-30T00:00:00"/>
    <x v="1"/>
    <x v="2"/>
    <s v="best wireless earbuds deals"/>
    <n v="5056"/>
    <n v="153"/>
    <n v="210.65"/>
    <n v="8"/>
    <n v="1045.43"/>
    <n v="5.2299999999999999E-2"/>
    <n v="3.0261075949367089"/>
  </r>
  <r>
    <d v="2024-10-30T00:00:00"/>
    <x v="2"/>
    <x v="0"/>
    <s v="wireless headphones discount"/>
    <n v="19829"/>
    <n v="382"/>
    <n v="1084.48"/>
    <n v="51"/>
    <n v="4431.6499999999996"/>
    <n v="0.13350000000000001"/>
    <n v="1.9264713298703919"/>
  </r>
  <r>
    <d v="2024-10-30T00:00:00"/>
    <x v="2"/>
    <x v="1"/>
    <s v="best gaming laptop deals"/>
    <n v="61560"/>
    <n v="1776"/>
    <n v="2508.6799999999998"/>
    <n v="161"/>
    <n v="3545.36"/>
    <n v="9.0700000000000003E-2"/>
    <n v="2.8849902534113059"/>
  </r>
  <r>
    <d v="2024-10-30T00:00:00"/>
    <x v="2"/>
    <x v="2"/>
    <s v="best gaming laptop deals"/>
    <n v="7757"/>
    <n v="93"/>
    <n v="78.94"/>
    <n v="14"/>
    <n v="288.18"/>
    <n v="0.15049999999999999"/>
    <n v="1.1989171071290448"/>
  </r>
  <r>
    <d v="2024-10-30T00:00:00"/>
    <x v="3"/>
    <x v="0"/>
    <s v="new year party dress"/>
    <n v="28541"/>
    <n v="397"/>
    <n v="1373.75"/>
    <n v="12"/>
    <n v="2847.94"/>
    <n v="3.0200000000000001E-2"/>
    <n v="1.3909813951858729"/>
  </r>
  <r>
    <d v="2024-10-30T00:00:00"/>
    <x v="3"/>
    <x v="1"/>
    <s v="winter boots discount"/>
    <n v="52766"/>
    <n v="1095"/>
    <n v="4696.6400000000003"/>
    <n v="215"/>
    <n v="22155.09"/>
    <n v="0.1963"/>
    <n v="2.0751999393548877"/>
  </r>
  <r>
    <d v="2024-10-30T00:00:00"/>
    <x v="3"/>
    <x v="2"/>
    <s v="holiday gift ideas under 50"/>
    <n v="3469"/>
    <n v="130"/>
    <n v="55.48"/>
    <n v="7"/>
    <n v="190.34"/>
    <n v="5.3800000000000001E-2"/>
    <n v="3.7474776592678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02AB0-57E7-47D3-A663-0EF5474D5BB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1:K25" firstHeaderRow="1" firstDataRow="1" firstDataCol="1"/>
  <pivotFields count="11">
    <pivotField numFmtId="14" showAll="0"/>
    <pivotField showAll="0">
      <items count="5">
        <item x="1"/>
        <item x="0"/>
        <item x="2"/>
        <item x="3"/>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numFmtId="164" showAll="0"/>
  </pivotFields>
  <rowFields count="1">
    <field x="2"/>
  </rowFields>
  <rowItems count="4">
    <i>
      <x/>
    </i>
    <i>
      <x v="1"/>
    </i>
    <i>
      <x v="2"/>
    </i>
    <i t="grand">
      <x/>
    </i>
  </rowItems>
  <colItems count="1">
    <i/>
  </colItems>
  <dataFields count="1">
    <dataField name="Average of CTR" fld="10" subtotal="average" baseField="1" baseItem="0" numFmtId="164"/>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8EA9E-7D80-4DE8-9119-BE90FB086C1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13:K18" firstHeaderRow="1" firstDataRow="1" firstDataCol="1"/>
  <pivotFields count="11">
    <pivotField numFmtId="14" showAll="0"/>
    <pivotField axis="axisRow" showAll="0">
      <items count="5">
        <item x="1"/>
        <item x="0"/>
        <item x="2"/>
        <item x="3"/>
        <item t="default"/>
      </items>
    </pivotField>
    <pivotField showAll="0">
      <items count="4">
        <item x="0"/>
        <item x="1"/>
        <item x="2"/>
        <item t="default"/>
      </items>
    </pivotField>
    <pivotField showAll="0"/>
    <pivotField showAll="0"/>
    <pivotField showAll="0"/>
    <pivotField showAll="0"/>
    <pivotField showAll="0"/>
    <pivotField showAll="0"/>
    <pivotField showAll="0"/>
    <pivotField dataField="1" numFmtId="164" showAll="0"/>
  </pivotFields>
  <rowFields count="1">
    <field x="1"/>
  </rowFields>
  <rowItems count="5">
    <i>
      <x/>
    </i>
    <i>
      <x v="1"/>
    </i>
    <i>
      <x v="2"/>
    </i>
    <i>
      <x v="3"/>
    </i>
    <i t="grand">
      <x/>
    </i>
  </rowItems>
  <colItems count="1">
    <i/>
  </colItems>
  <dataFields count="1">
    <dataField name="Average of CTR" fld="10" subtotal="average" baseField="1" baseItem="0" numFmtId="164"/>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8D8A41-92FD-4A78-BEE6-2454C4CE15B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4:K9" firstHeaderRow="1" firstDataRow="1" firstDataCol="1"/>
  <pivotFields count="11">
    <pivotField numFmtId="14" showAll="0"/>
    <pivotField axis="axisRow" showAll="0">
      <items count="5">
        <item x="1"/>
        <item x="0"/>
        <item x="2"/>
        <item x="3"/>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numFmtId="164" showAll="0"/>
  </pivotFields>
  <rowFields count="1">
    <field x="1"/>
  </rowFields>
  <rowItems count="5">
    <i>
      <x/>
    </i>
    <i>
      <x v="1"/>
    </i>
    <i>
      <x v="2"/>
    </i>
    <i>
      <x v="3"/>
    </i>
    <i t="grand">
      <x/>
    </i>
  </rowItems>
  <colItems count="1">
    <i/>
  </colItems>
  <dataFields count="1">
    <dataField name="Sum of Impressions"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968935-D0EB-44F1-916D-D3C1BBBEADF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3:E17" firstHeaderRow="0" firstDataRow="1" firstDataCol="1"/>
  <pivotFields count="11">
    <pivotField numFmtId="14" showAll="0"/>
    <pivotField showAll="0">
      <items count="5">
        <item x="1"/>
        <item x="0"/>
        <item x="2"/>
        <item x="3"/>
        <item t="default"/>
      </items>
    </pivotField>
    <pivotField axis="axisRow" showAll="0">
      <items count="4">
        <item x="0"/>
        <item x="1"/>
        <item x="2"/>
        <item t="default"/>
      </items>
    </pivotField>
    <pivotField showAll="0"/>
    <pivotField dataField="1" showAll="0"/>
    <pivotField dataField="1" showAll="0"/>
    <pivotField showAll="0"/>
    <pivotField showAll="0"/>
    <pivotField showAll="0"/>
    <pivotField showAll="0"/>
    <pivotField dataField="1" numFmtId="164" showAll="0"/>
  </pivotFields>
  <rowFields count="1">
    <field x="2"/>
  </rowFields>
  <rowItems count="4">
    <i>
      <x/>
    </i>
    <i>
      <x v="1"/>
    </i>
    <i>
      <x v="2"/>
    </i>
    <i t="grand">
      <x/>
    </i>
  </rowItems>
  <colFields count="1">
    <field x="-2"/>
  </colFields>
  <colItems count="3">
    <i>
      <x/>
    </i>
    <i i="1">
      <x v="1"/>
    </i>
    <i i="2">
      <x v="2"/>
    </i>
  </colItems>
  <dataFields count="3">
    <dataField name="Sum of Impressions" fld="4" baseField="0" baseItem="0"/>
    <dataField name="Sum of Clicks" fld="5" baseField="0" baseItem="0"/>
    <dataField name="Average of CTR" fld="10" subtotal="average" baseField="2" baseItem="0" numFmtId="164"/>
  </dataFields>
  <formats count="2">
    <format dxfId="10">
      <pivotArea outline="0" collapsedLevelsAreSubtotals="1" fieldPosition="0">
        <references count="1">
          <reference field="4294967294" count="1" selected="0">
            <x v="2"/>
          </reference>
        </references>
      </pivotArea>
    </format>
    <format dxfId="1">
      <pivotArea collapsedLevelsAreSubtotals="1" fieldPosition="0">
        <references count="2">
          <reference field="4294967294" count="1" selected="0">
            <x v="2"/>
          </reference>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1564D2-5F4B-42FB-A073-1B502F1B4FF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4:E9" firstHeaderRow="0" firstDataRow="1" firstDataCol="1"/>
  <pivotFields count="11">
    <pivotField numFmtId="14" showAll="0"/>
    <pivotField axis="axisRow" showAll="0">
      <items count="5">
        <item x="1"/>
        <item x="0"/>
        <item x="2"/>
        <item x="3"/>
        <item t="default"/>
      </items>
    </pivotField>
    <pivotField showAll="0">
      <items count="4">
        <item x="0"/>
        <item x="1"/>
        <item x="2"/>
        <item t="default"/>
      </items>
    </pivotField>
    <pivotField showAll="0"/>
    <pivotField dataField="1" showAll="0"/>
    <pivotField dataField="1" showAll="0"/>
    <pivotField showAll="0"/>
    <pivotField showAll="0"/>
    <pivotField showAll="0"/>
    <pivotField showAll="0"/>
    <pivotField dataField="1" numFmtId="164" showAll="0"/>
  </pivotFields>
  <rowFields count="1">
    <field x="1"/>
  </rowFields>
  <rowItems count="5">
    <i>
      <x/>
    </i>
    <i>
      <x v="1"/>
    </i>
    <i>
      <x v="2"/>
    </i>
    <i>
      <x v="3"/>
    </i>
    <i t="grand">
      <x/>
    </i>
  </rowItems>
  <colFields count="1">
    <field x="-2"/>
  </colFields>
  <colItems count="3">
    <i>
      <x/>
    </i>
    <i i="1">
      <x v="1"/>
    </i>
    <i i="2">
      <x v="2"/>
    </i>
  </colItems>
  <dataFields count="3">
    <dataField name="Sum of Impressions" fld="4" baseField="0" baseItem="0"/>
    <dataField name="Sum of Clicks" fld="5" baseField="0" baseItem="0"/>
    <dataField name="Average of CTR" fld="10" subtotal="average" baseField="1" baseItem="0" numFmtId="164"/>
  </dataFields>
  <formats count="8">
    <format dxfId="11">
      <pivotArea outline="0" collapsedLevelsAreSubtotals="1" fieldPosition="0">
        <references count="1">
          <reference field="4294967294" count="1" selected="0">
            <x v="2"/>
          </reference>
        </references>
      </pivotArea>
    </format>
    <format dxfId="7">
      <pivotArea collapsedLevelsAreSubtotals="1" fieldPosition="0">
        <references count="2">
          <reference field="4294967294" count="1" selected="0">
            <x v="2"/>
          </reference>
          <reference field="1" count="1">
            <x v="3"/>
          </reference>
        </references>
      </pivotArea>
    </format>
    <format dxfId="6">
      <pivotArea collapsedLevelsAreSubtotals="1" fieldPosition="0">
        <references count="2">
          <reference field="4294967294" count="1" selected="0">
            <x v="2"/>
          </reference>
          <reference field="1" count="3">
            <x v="0"/>
            <x v="1"/>
            <x v="2"/>
          </reference>
        </references>
      </pivotArea>
    </format>
    <format dxfId="5">
      <pivotArea collapsedLevelsAreSubtotals="1" fieldPosition="0">
        <references count="2">
          <reference field="4294967294" count="1" selected="0">
            <x v="0"/>
          </reference>
          <reference field="1" count="1">
            <x v="2"/>
          </reference>
        </references>
      </pivotArea>
    </format>
    <format dxfId="4">
      <pivotArea collapsedLevelsAreSubtotals="1" fieldPosition="0">
        <references count="2">
          <reference field="4294967294" count="1" selected="0">
            <x v="0"/>
          </reference>
          <reference field="1" count="1">
            <x v="2"/>
          </reference>
        </references>
      </pivotArea>
    </format>
    <format dxfId="3">
      <pivotArea collapsedLevelsAreSubtotals="1" fieldPosition="0">
        <references count="2">
          <reference field="4294967294" count="1" selected="0">
            <x v="0"/>
          </reference>
          <reference field="1" count="2">
            <x v="0"/>
            <x v="1"/>
          </reference>
        </references>
      </pivotArea>
    </format>
    <format dxfId="2">
      <pivotArea collapsedLevelsAreSubtotals="1" fieldPosition="0">
        <references count="2">
          <reference field="4294967294" count="1" selected="0">
            <x v="0"/>
          </reference>
          <reference field="1" count="1">
            <x v="3"/>
          </reference>
        </references>
      </pivotArea>
    </format>
    <format dxfId="0">
      <pivotArea collapsedLevelsAreSubtotals="1" fieldPosition="0">
        <references count="2">
          <reference field="4294967294" count="1" selected="0">
            <x v="1"/>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F7E69039-37DE-419A-84B7-95FF25C49DD5}" sourceName="Campaign">
  <pivotTables>
    <pivotTable tabId="2" name="PivotTable1"/>
    <pivotTable tabId="2" name="PivotTable2"/>
    <pivotTable tabId="2" name="PivotTable3"/>
    <pivotTable tabId="2" name="PivotTable4"/>
    <pivotTable tabId="2" name="PivotTable5"/>
  </pivotTables>
  <data>
    <tabular pivotCacheId="72751505">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25B9F391-3E8E-405B-9889-64A084A2D411}" sourceName="Device">
  <pivotTables>
    <pivotTable tabId="2" name="PivotTable2"/>
    <pivotTable tabId="2" name="PivotTable1"/>
    <pivotTable tabId="2" name="PivotTable3"/>
    <pivotTable tabId="2" name="PivotTable4"/>
    <pivotTable tabId="2" name="PivotTable5"/>
  </pivotTables>
  <data>
    <tabular pivotCacheId="727515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1" xr10:uid="{4D560008-6C69-4A24-850E-F8EA51916AB2}" cache="Slicer_Campaign" caption="Campaign" rowHeight="241300"/>
  <slicer name="Device" xr10:uid="{425CF62F-B7BA-4F2A-91DD-CA32E0A2437A}" cache="Slicer_Device" caption="Devi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E6615-D118-4CE5-AC74-DEDCC48D410C}">
  <dimension ref="A1:K361"/>
  <sheetViews>
    <sheetView workbookViewId="0">
      <selection activeCell="D363" sqref="D363"/>
    </sheetView>
  </sheetViews>
  <sheetFormatPr defaultRowHeight="15" x14ac:dyDescent="0.25"/>
  <cols>
    <col min="1" max="1" width="10.7109375" bestFit="1" customWidth="1"/>
    <col min="2" max="2" width="25.85546875" bestFit="1" customWidth="1"/>
    <col min="4" max="4" width="30.7109375" bestFit="1" customWidth="1"/>
    <col min="5" max="5" width="12.42578125" bestFit="1" customWidth="1"/>
    <col min="8" max="8" width="12.7109375" bestFit="1" customWidth="1"/>
    <col min="9" max="9" width="9.42578125" bestFit="1" customWidth="1"/>
    <col min="10" max="10" width="11.42578125" bestFit="1" customWidth="1"/>
  </cols>
  <sheetData>
    <row r="1" spans="1:11" s="2" customFormat="1" ht="15.75" x14ac:dyDescent="0.25">
      <c r="A1" s="2" t="s">
        <v>0</v>
      </c>
      <c r="B1" s="2" t="s">
        <v>1</v>
      </c>
      <c r="C1" s="2" t="s">
        <v>2</v>
      </c>
      <c r="D1" s="2" t="s">
        <v>3</v>
      </c>
      <c r="E1" s="2" t="s">
        <v>4</v>
      </c>
      <c r="F1" s="2" t="s">
        <v>5</v>
      </c>
      <c r="G1" s="2" t="s">
        <v>6</v>
      </c>
      <c r="H1" s="2" t="s">
        <v>7</v>
      </c>
      <c r="I1" s="2" t="s">
        <v>8</v>
      </c>
      <c r="J1" s="2" t="s">
        <v>9</v>
      </c>
      <c r="K1" s="2" t="s">
        <v>35</v>
      </c>
    </row>
    <row r="2" spans="1:11" x14ac:dyDescent="0.25">
      <c r="A2" s="1">
        <v>45566</v>
      </c>
      <c r="B2" t="s">
        <v>10</v>
      </c>
      <c r="C2" t="s">
        <v>11</v>
      </c>
      <c r="D2" t="s">
        <v>12</v>
      </c>
      <c r="E2">
        <v>14176</v>
      </c>
      <c r="F2">
        <v>342</v>
      </c>
      <c r="G2">
        <v>669.91</v>
      </c>
      <c r="H2">
        <v>60</v>
      </c>
      <c r="I2">
        <v>3278.77</v>
      </c>
      <c r="J2">
        <v>0.1754</v>
      </c>
      <c r="K2" s="6">
        <f>(F2/E2) *100</f>
        <v>2.4125282167042887</v>
      </c>
    </row>
    <row r="3" spans="1:11" x14ac:dyDescent="0.25">
      <c r="A3" s="1">
        <v>45566</v>
      </c>
      <c r="B3" t="s">
        <v>10</v>
      </c>
      <c r="C3" t="s">
        <v>13</v>
      </c>
      <c r="D3" t="s">
        <v>14</v>
      </c>
      <c r="E3">
        <v>58449</v>
      </c>
      <c r="F3">
        <v>1430</v>
      </c>
      <c r="G3">
        <v>3728.27</v>
      </c>
      <c r="H3">
        <v>210</v>
      </c>
      <c r="I3">
        <v>5930.25</v>
      </c>
      <c r="J3">
        <v>0.1469</v>
      </c>
      <c r="K3" s="6">
        <f t="shared" ref="K3:K66" si="0">(F3/E3) *100</f>
        <v>2.4465773580386321</v>
      </c>
    </row>
    <row r="4" spans="1:11" x14ac:dyDescent="0.25">
      <c r="A4" s="1">
        <v>45566</v>
      </c>
      <c r="B4" t="s">
        <v>10</v>
      </c>
      <c r="C4" t="s">
        <v>15</v>
      </c>
      <c r="D4" t="s">
        <v>12</v>
      </c>
      <c r="E4">
        <v>7084</v>
      </c>
      <c r="F4">
        <v>241</v>
      </c>
      <c r="G4">
        <v>104.09</v>
      </c>
      <c r="H4">
        <v>8</v>
      </c>
      <c r="I4">
        <v>466.9</v>
      </c>
      <c r="J4">
        <v>3.32E-2</v>
      </c>
      <c r="K4" s="6">
        <f t="shared" si="0"/>
        <v>3.402032749858837</v>
      </c>
    </row>
    <row r="5" spans="1:11" x14ac:dyDescent="0.25">
      <c r="A5" s="1">
        <v>45566</v>
      </c>
      <c r="B5" t="s">
        <v>16</v>
      </c>
      <c r="C5" t="s">
        <v>11</v>
      </c>
      <c r="D5" t="s">
        <v>17</v>
      </c>
      <c r="E5">
        <v>23510</v>
      </c>
      <c r="F5">
        <v>325</v>
      </c>
      <c r="G5">
        <v>515.23</v>
      </c>
      <c r="H5">
        <v>31</v>
      </c>
      <c r="I5">
        <v>2150.09</v>
      </c>
      <c r="J5">
        <v>9.5399999999999999E-2</v>
      </c>
      <c r="K5" s="6">
        <f t="shared" si="0"/>
        <v>1.3823904721395153</v>
      </c>
    </row>
    <row r="6" spans="1:11" x14ac:dyDescent="0.25">
      <c r="A6" s="1">
        <v>45566</v>
      </c>
      <c r="B6" t="s">
        <v>16</v>
      </c>
      <c r="C6" t="s">
        <v>13</v>
      </c>
      <c r="D6" t="s">
        <v>18</v>
      </c>
      <c r="E6">
        <v>51263</v>
      </c>
      <c r="F6">
        <v>1546</v>
      </c>
      <c r="G6">
        <v>1636.79</v>
      </c>
      <c r="H6">
        <v>219</v>
      </c>
      <c r="I6">
        <v>2636.48</v>
      </c>
      <c r="J6">
        <v>0.14169999999999999</v>
      </c>
      <c r="K6" s="6">
        <f t="shared" si="0"/>
        <v>3.0158203772701557</v>
      </c>
    </row>
    <row r="7" spans="1:11" x14ac:dyDescent="0.25">
      <c r="A7" s="1">
        <v>45566</v>
      </c>
      <c r="B7" t="s">
        <v>16</v>
      </c>
      <c r="C7" t="s">
        <v>15</v>
      </c>
      <c r="D7" t="s">
        <v>19</v>
      </c>
      <c r="E7">
        <v>5855</v>
      </c>
      <c r="F7">
        <v>106</v>
      </c>
      <c r="G7">
        <v>119.85</v>
      </c>
      <c r="H7">
        <v>15</v>
      </c>
      <c r="I7">
        <v>303.06</v>
      </c>
      <c r="J7">
        <v>0.14149999999999999</v>
      </c>
      <c r="K7" s="6">
        <f t="shared" si="0"/>
        <v>1.8104184457728438</v>
      </c>
    </row>
    <row r="8" spans="1:11" x14ac:dyDescent="0.25">
      <c r="A8" s="1">
        <v>45566</v>
      </c>
      <c r="B8" t="s">
        <v>20</v>
      </c>
      <c r="C8" t="s">
        <v>11</v>
      </c>
      <c r="D8" t="s">
        <v>21</v>
      </c>
      <c r="E8">
        <v>17304</v>
      </c>
      <c r="F8">
        <v>324</v>
      </c>
      <c r="G8">
        <v>1092.04</v>
      </c>
      <c r="H8">
        <v>35</v>
      </c>
      <c r="I8">
        <v>2672.65</v>
      </c>
      <c r="J8">
        <v>0.108</v>
      </c>
      <c r="K8" s="6">
        <f t="shared" si="0"/>
        <v>1.872399445214979</v>
      </c>
    </row>
    <row r="9" spans="1:11" x14ac:dyDescent="0.25">
      <c r="A9" s="1">
        <v>45566</v>
      </c>
      <c r="B9" t="s">
        <v>20</v>
      </c>
      <c r="C9" t="s">
        <v>13</v>
      </c>
      <c r="D9" t="s">
        <v>22</v>
      </c>
      <c r="E9">
        <v>53292</v>
      </c>
      <c r="F9">
        <v>1719</v>
      </c>
      <c r="G9">
        <v>3565.93</v>
      </c>
      <c r="H9">
        <v>142</v>
      </c>
      <c r="I9">
        <v>13486.95</v>
      </c>
      <c r="J9">
        <v>8.2600000000000007E-2</v>
      </c>
      <c r="K9" s="6">
        <f t="shared" si="0"/>
        <v>3.2256248592659311</v>
      </c>
    </row>
    <row r="10" spans="1:11" x14ac:dyDescent="0.25">
      <c r="A10" s="1">
        <v>45566</v>
      </c>
      <c r="B10" t="s">
        <v>20</v>
      </c>
      <c r="C10" t="s">
        <v>15</v>
      </c>
      <c r="D10" t="s">
        <v>23</v>
      </c>
      <c r="E10">
        <v>2226</v>
      </c>
      <c r="F10">
        <v>79</v>
      </c>
      <c r="G10">
        <v>356.96</v>
      </c>
      <c r="H10">
        <v>9</v>
      </c>
      <c r="I10">
        <v>670.57</v>
      </c>
      <c r="J10">
        <v>0.1139</v>
      </c>
      <c r="K10" s="6">
        <f t="shared" si="0"/>
        <v>3.5489667565139262</v>
      </c>
    </row>
    <row r="11" spans="1:11" x14ac:dyDescent="0.25">
      <c r="A11" s="1">
        <v>45566</v>
      </c>
      <c r="B11" t="s">
        <v>24</v>
      </c>
      <c r="C11" t="s">
        <v>11</v>
      </c>
      <c r="D11" t="s">
        <v>25</v>
      </c>
      <c r="E11">
        <v>11253</v>
      </c>
      <c r="F11">
        <v>411</v>
      </c>
      <c r="G11">
        <v>1015.89</v>
      </c>
      <c r="H11">
        <v>32</v>
      </c>
      <c r="I11">
        <v>4031.53</v>
      </c>
      <c r="J11">
        <v>7.7899999999999997E-2</v>
      </c>
      <c r="K11" s="6">
        <f t="shared" si="0"/>
        <v>3.6523593708344437</v>
      </c>
    </row>
    <row r="12" spans="1:11" x14ac:dyDescent="0.25">
      <c r="A12" s="1">
        <v>45566</v>
      </c>
      <c r="B12" t="s">
        <v>24</v>
      </c>
      <c r="C12" t="s">
        <v>13</v>
      </c>
      <c r="D12" t="s">
        <v>25</v>
      </c>
      <c r="E12">
        <v>63599</v>
      </c>
      <c r="F12">
        <v>2241</v>
      </c>
      <c r="G12">
        <v>4936.9399999999996</v>
      </c>
      <c r="H12">
        <v>69</v>
      </c>
      <c r="I12">
        <v>13150.74</v>
      </c>
      <c r="J12">
        <v>3.0800000000000001E-2</v>
      </c>
      <c r="K12" s="6">
        <f t="shared" si="0"/>
        <v>3.5236403088098869</v>
      </c>
    </row>
    <row r="13" spans="1:11" x14ac:dyDescent="0.25">
      <c r="A13" s="1">
        <v>45566</v>
      </c>
      <c r="B13" t="s">
        <v>24</v>
      </c>
      <c r="C13" t="s">
        <v>15</v>
      </c>
      <c r="D13" t="s">
        <v>26</v>
      </c>
      <c r="E13">
        <v>4086</v>
      </c>
      <c r="F13">
        <v>61</v>
      </c>
      <c r="G13">
        <v>298.07</v>
      </c>
      <c r="H13">
        <v>1</v>
      </c>
      <c r="I13">
        <v>946.58</v>
      </c>
      <c r="J13">
        <v>1.6400000000000001E-2</v>
      </c>
      <c r="K13" s="6">
        <f t="shared" si="0"/>
        <v>1.49290259422418</v>
      </c>
    </row>
    <row r="14" spans="1:11" x14ac:dyDescent="0.25">
      <c r="A14" s="1">
        <v>45567</v>
      </c>
      <c r="B14" t="s">
        <v>10</v>
      </c>
      <c r="C14" t="s">
        <v>11</v>
      </c>
      <c r="D14" t="s">
        <v>27</v>
      </c>
      <c r="E14">
        <v>21934</v>
      </c>
      <c r="F14">
        <v>741</v>
      </c>
      <c r="G14">
        <v>383.97</v>
      </c>
      <c r="H14">
        <v>52</v>
      </c>
      <c r="I14">
        <v>1804.25</v>
      </c>
      <c r="J14">
        <v>7.0199999999999999E-2</v>
      </c>
      <c r="K14" s="6">
        <f t="shared" si="0"/>
        <v>3.3783167684872799</v>
      </c>
    </row>
    <row r="15" spans="1:11" x14ac:dyDescent="0.25">
      <c r="A15" s="1">
        <v>45567</v>
      </c>
      <c r="B15" t="s">
        <v>10</v>
      </c>
      <c r="C15" t="s">
        <v>13</v>
      </c>
      <c r="D15" t="s">
        <v>17</v>
      </c>
      <c r="E15">
        <v>43167</v>
      </c>
      <c r="F15">
        <v>2474</v>
      </c>
      <c r="G15">
        <v>4600.1899999999996</v>
      </c>
      <c r="H15">
        <v>169</v>
      </c>
      <c r="I15">
        <v>10926.75</v>
      </c>
      <c r="J15">
        <v>6.83E-2</v>
      </c>
      <c r="K15" s="6">
        <f t="shared" si="0"/>
        <v>5.7312298746727821</v>
      </c>
    </row>
    <row r="16" spans="1:11" x14ac:dyDescent="0.25">
      <c r="A16" s="1">
        <v>45567</v>
      </c>
      <c r="B16" t="s">
        <v>10</v>
      </c>
      <c r="C16" t="s">
        <v>15</v>
      </c>
      <c r="D16" t="s">
        <v>12</v>
      </c>
      <c r="E16">
        <v>4672</v>
      </c>
      <c r="F16">
        <v>153</v>
      </c>
      <c r="G16">
        <v>294.02</v>
      </c>
      <c r="H16">
        <v>18</v>
      </c>
      <c r="I16">
        <v>495.04</v>
      </c>
      <c r="J16">
        <v>0.1176</v>
      </c>
      <c r="K16" s="6">
        <f t="shared" si="0"/>
        <v>3.2748287671232874</v>
      </c>
    </row>
    <row r="17" spans="1:11" x14ac:dyDescent="0.25">
      <c r="A17" s="1">
        <v>45567</v>
      </c>
      <c r="B17" t="s">
        <v>16</v>
      </c>
      <c r="C17" t="s">
        <v>11</v>
      </c>
      <c r="D17" t="s">
        <v>18</v>
      </c>
      <c r="E17">
        <v>22423</v>
      </c>
      <c r="F17">
        <v>478</v>
      </c>
      <c r="G17">
        <v>1038.6199999999999</v>
      </c>
      <c r="H17">
        <v>29</v>
      </c>
      <c r="I17">
        <v>2849.02</v>
      </c>
      <c r="J17">
        <v>6.0699999999999997E-2</v>
      </c>
      <c r="K17" s="6">
        <f t="shared" si="0"/>
        <v>2.1317397315256654</v>
      </c>
    </row>
    <row r="18" spans="1:11" x14ac:dyDescent="0.25">
      <c r="A18" s="1">
        <v>45567</v>
      </c>
      <c r="B18" t="s">
        <v>16</v>
      </c>
      <c r="C18" t="s">
        <v>13</v>
      </c>
      <c r="D18" t="s">
        <v>19</v>
      </c>
      <c r="E18">
        <v>54914</v>
      </c>
      <c r="F18">
        <v>1587</v>
      </c>
      <c r="G18">
        <v>1840.73</v>
      </c>
      <c r="H18">
        <v>241</v>
      </c>
      <c r="I18">
        <v>6265.74</v>
      </c>
      <c r="J18">
        <v>0.15190000000000001</v>
      </c>
      <c r="K18" s="6">
        <f t="shared" si="0"/>
        <v>2.8899734129730121</v>
      </c>
    </row>
    <row r="19" spans="1:11" x14ac:dyDescent="0.25">
      <c r="A19" s="1">
        <v>45567</v>
      </c>
      <c r="B19" t="s">
        <v>16</v>
      </c>
      <c r="C19" t="s">
        <v>15</v>
      </c>
      <c r="D19" t="s">
        <v>28</v>
      </c>
      <c r="E19">
        <v>5809</v>
      </c>
      <c r="F19">
        <v>163</v>
      </c>
      <c r="G19">
        <v>204.76</v>
      </c>
      <c r="H19">
        <v>7</v>
      </c>
      <c r="I19">
        <v>643.45000000000005</v>
      </c>
      <c r="J19">
        <v>4.2900000000000001E-2</v>
      </c>
      <c r="K19" s="6">
        <f t="shared" si="0"/>
        <v>2.8059907040798762</v>
      </c>
    </row>
    <row r="20" spans="1:11" x14ac:dyDescent="0.25">
      <c r="A20" s="1">
        <v>45567</v>
      </c>
      <c r="B20" t="s">
        <v>20</v>
      </c>
      <c r="C20" t="s">
        <v>11</v>
      </c>
      <c r="D20" t="s">
        <v>21</v>
      </c>
      <c r="E20">
        <v>12778</v>
      </c>
      <c r="F20">
        <v>590</v>
      </c>
      <c r="G20">
        <v>918.54</v>
      </c>
      <c r="H20">
        <v>50</v>
      </c>
      <c r="I20">
        <v>3263.75</v>
      </c>
      <c r="J20">
        <v>8.4699999999999998E-2</v>
      </c>
      <c r="K20" s="6">
        <f t="shared" si="0"/>
        <v>4.6173110032868996</v>
      </c>
    </row>
    <row r="21" spans="1:11" x14ac:dyDescent="0.25">
      <c r="A21" s="1">
        <v>45567</v>
      </c>
      <c r="B21" t="s">
        <v>20</v>
      </c>
      <c r="C21" t="s">
        <v>13</v>
      </c>
      <c r="D21" t="s">
        <v>22</v>
      </c>
      <c r="E21">
        <v>50392</v>
      </c>
      <c r="F21">
        <v>2377</v>
      </c>
      <c r="G21">
        <v>2241.6799999999998</v>
      </c>
      <c r="H21">
        <v>246</v>
      </c>
      <c r="I21">
        <v>4386.28</v>
      </c>
      <c r="J21">
        <v>0.10349999999999999</v>
      </c>
      <c r="K21" s="6">
        <f t="shared" si="0"/>
        <v>4.7170185743768851</v>
      </c>
    </row>
    <row r="22" spans="1:11" x14ac:dyDescent="0.25">
      <c r="A22" s="1">
        <v>45567</v>
      </c>
      <c r="B22" t="s">
        <v>20</v>
      </c>
      <c r="C22" t="s">
        <v>15</v>
      </c>
      <c r="D22" t="s">
        <v>22</v>
      </c>
      <c r="E22">
        <v>2378</v>
      </c>
      <c r="F22">
        <v>112</v>
      </c>
      <c r="G22">
        <v>394.38</v>
      </c>
      <c r="H22">
        <v>20</v>
      </c>
      <c r="I22">
        <v>1746.71</v>
      </c>
      <c r="J22">
        <v>0.17860000000000001</v>
      </c>
      <c r="K22" s="6">
        <f t="shared" si="0"/>
        <v>4.7098402018502945</v>
      </c>
    </row>
    <row r="23" spans="1:11" x14ac:dyDescent="0.25">
      <c r="A23" s="1">
        <v>45567</v>
      </c>
      <c r="B23" t="s">
        <v>24</v>
      </c>
      <c r="C23" t="s">
        <v>11</v>
      </c>
      <c r="D23" t="s">
        <v>29</v>
      </c>
      <c r="E23">
        <v>24923</v>
      </c>
      <c r="F23">
        <v>724</v>
      </c>
      <c r="G23">
        <v>1363.36</v>
      </c>
      <c r="H23">
        <v>46</v>
      </c>
      <c r="I23">
        <v>2643.36</v>
      </c>
      <c r="J23">
        <v>6.3500000000000001E-2</v>
      </c>
      <c r="K23" s="6">
        <f t="shared" si="0"/>
        <v>2.904947237491474</v>
      </c>
    </row>
    <row r="24" spans="1:11" x14ac:dyDescent="0.25">
      <c r="A24" s="1">
        <v>45567</v>
      </c>
      <c r="B24" t="s">
        <v>24</v>
      </c>
      <c r="C24" t="s">
        <v>13</v>
      </c>
      <c r="D24" t="s">
        <v>30</v>
      </c>
      <c r="E24">
        <v>67399</v>
      </c>
      <c r="F24">
        <v>1818</v>
      </c>
      <c r="G24">
        <v>1975.94</v>
      </c>
      <c r="H24">
        <v>207</v>
      </c>
      <c r="I24">
        <v>7534.19</v>
      </c>
      <c r="J24">
        <v>0.1139</v>
      </c>
      <c r="K24" s="6">
        <f t="shared" si="0"/>
        <v>2.6973693971720647</v>
      </c>
    </row>
    <row r="25" spans="1:11" x14ac:dyDescent="0.25">
      <c r="A25" s="1">
        <v>45567</v>
      </c>
      <c r="B25" t="s">
        <v>24</v>
      </c>
      <c r="C25" t="s">
        <v>15</v>
      </c>
      <c r="D25" t="s">
        <v>29</v>
      </c>
      <c r="E25">
        <v>5482</v>
      </c>
      <c r="F25">
        <v>106</v>
      </c>
      <c r="G25">
        <v>111.56</v>
      </c>
      <c r="H25">
        <v>17</v>
      </c>
      <c r="I25">
        <v>330.81</v>
      </c>
      <c r="J25">
        <v>0.16039999999999999</v>
      </c>
      <c r="K25" s="6">
        <f t="shared" si="0"/>
        <v>1.9336008755928491</v>
      </c>
    </row>
    <row r="26" spans="1:11" x14ac:dyDescent="0.25">
      <c r="A26" s="1">
        <v>45568</v>
      </c>
      <c r="B26" t="s">
        <v>10</v>
      </c>
      <c r="C26" t="s">
        <v>11</v>
      </c>
      <c r="D26" t="s">
        <v>27</v>
      </c>
      <c r="E26">
        <v>13976</v>
      </c>
      <c r="F26">
        <v>767</v>
      </c>
      <c r="G26">
        <v>460.01</v>
      </c>
      <c r="H26">
        <v>39</v>
      </c>
      <c r="I26">
        <v>1718.96</v>
      </c>
      <c r="J26">
        <v>5.0799999999999998E-2</v>
      </c>
      <c r="K26" s="6">
        <f t="shared" si="0"/>
        <v>5.4879793932455634</v>
      </c>
    </row>
    <row r="27" spans="1:11" x14ac:dyDescent="0.25">
      <c r="A27" s="1">
        <v>45568</v>
      </c>
      <c r="B27" t="s">
        <v>10</v>
      </c>
      <c r="C27" t="s">
        <v>13</v>
      </c>
      <c r="D27" t="s">
        <v>17</v>
      </c>
      <c r="E27">
        <v>64004</v>
      </c>
      <c r="F27">
        <v>2254</v>
      </c>
      <c r="G27">
        <v>4260.03</v>
      </c>
      <c r="H27">
        <v>169</v>
      </c>
      <c r="I27">
        <v>12020.16</v>
      </c>
      <c r="J27">
        <v>7.4999999999999997E-2</v>
      </c>
      <c r="K27" s="6">
        <f t="shared" si="0"/>
        <v>3.5216548965689647</v>
      </c>
    </row>
    <row r="28" spans="1:11" x14ac:dyDescent="0.25">
      <c r="A28" s="1">
        <v>45568</v>
      </c>
      <c r="B28" t="s">
        <v>10</v>
      </c>
      <c r="C28" t="s">
        <v>15</v>
      </c>
      <c r="D28" t="s">
        <v>12</v>
      </c>
      <c r="E28">
        <v>3303</v>
      </c>
      <c r="F28">
        <v>240</v>
      </c>
      <c r="G28">
        <v>351.52</v>
      </c>
      <c r="H28">
        <v>15</v>
      </c>
      <c r="I28">
        <v>768.05</v>
      </c>
      <c r="J28">
        <v>6.25E-2</v>
      </c>
      <c r="K28" s="6">
        <f t="shared" si="0"/>
        <v>7.266121707538602</v>
      </c>
    </row>
    <row r="29" spans="1:11" x14ac:dyDescent="0.25">
      <c r="A29" s="1">
        <v>45568</v>
      </c>
      <c r="B29" t="s">
        <v>16</v>
      </c>
      <c r="C29" t="s">
        <v>11</v>
      </c>
      <c r="D29" t="s">
        <v>17</v>
      </c>
      <c r="E29">
        <v>19086</v>
      </c>
      <c r="F29">
        <v>833</v>
      </c>
      <c r="G29">
        <v>881.52</v>
      </c>
      <c r="H29">
        <v>25</v>
      </c>
      <c r="I29">
        <v>1977.66</v>
      </c>
      <c r="J29">
        <v>0.03</v>
      </c>
      <c r="K29" s="6">
        <f t="shared" si="0"/>
        <v>4.3644556219218273</v>
      </c>
    </row>
    <row r="30" spans="1:11" x14ac:dyDescent="0.25">
      <c r="A30" s="1">
        <v>45568</v>
      </c>
      <c r="B30" t="s">
        <v>16</v>
      </c>
      <c r="C30" t="s">
        <v>13</v>
      </c>
      <c r="D30" t="s">
        <v>19</v>
      </c>
      <c r="E30">
        <v>53725</v>
      </c>
      <c r="F30">
        <v>1480</v>
      </c>
      <c r="G30">
        <v>2086.86</v>
      </c>
      <c r="H30">
        <v>121</v>
      </c>
      <c r="I30">
        <v>9586</v>
      </c>
      <c r="J30">
        <v>8.1799999999999998E-2</v>
      </c>
      <c r="K30" s="6">
        <f t="shared" si="0"/>
        <v>2.7547696603071197</v>
      </c>
    </row>
    <row r="31" spans="1:11" x14ac:dyDescent="0.25">
      <c r="A31" s="1">
        <v>45568</v>
      </c>
      <c r="B31" t="s">
        <v>16</v>
      </c>
      <c r="C31" t="s">
        <v>15</v>
      </c>
      <c r="D31" t="s">
        <v>19</v>
      </c>
      <c r="E31">
        <v>3133</v>
      </c>
      <c r="F31">
        <v>88</v>
      </c>
      <c r="G31">
        <v>130.94</v>
      </c>
      <c r="H31">
        <v>5</v>
      </c>
      <c r="I31">
        <v>508.62</v>
      </c>
      <c r="J31">
        <v>5.6800000000000003E-2</v>
      </c>
      <c r="K31" s="6">
        <f t="shared" si="0"/>
        <v>2.8088094478135974</v>
      </c>
    </row>
    <row r="32" spans="1:11" x14ac:dyDescent="0.25">
      <c r="A32" s="1">
        <v>45568</v>
      </c>
      <c r="B32" t="s">
        <v>20</v>
      </c>
      <c r="C32" t="s">
        <v>11</v>
      </c>
      <c r="D32" t="s">
        <v>22</v>
      </c>
      <c r="E32">
        <v>23594</v>
      </c>
      <c r="F32">
        <v>717</v>
      </c>
      <c r="G32">
        <v>697.06</v>
      </c>
      <c r="H32">
        <v>39</v>
      </c>
      <c r="I32">
        <v>1937.79</v>
      </c>
      <c r="J32">
        <v>5.4399999999999997E-2</v>
      </c>
      <c r="K32" s="6">
        <f t="shared" si="0"/>
        <v>3.0389081969992371</v>
      </c>
    </row>
    <row r="33" spans="1:11" x14ac:dyDescent="0.25">
      <c r="A33" s="1">
        <v>45568</v>
      </c>
      <c r="B33" t="s">
        <v>20</v>
      </c>
      <c r="C33" t="s">
        <v>13</v>
      </c>
      <c r="D33" t="s">
        <v>21</v>
      </c>
      <c r="E33">
        <v>62534</v>
      </c>
      <c r="F33">
        <v>1797</v>
      </c>
      <c r="G33">
        <v>4619.3500000000004</v>
      </c>
      <c r="H33">
        <v>189</v>
      </c>
      <c r="I33">
        <v>22149.95</v>
      </c>
      <c r="J33">
        <v>0.1052</v>
      </c>
      <c r="K33" s="6">
        <f t="shared" si="0"/>
        <v>2.8736367416125628</v>
      </c>
    </row>
    <row r="34" spans="1:11" x14ac:dyDescent="0.25">
      <c r="A34" s="1">
        <v>45568</v>
      </c>
      <c r="B34" t="s">
        <v>20</v>
      </c>
      <c r="C34" t="s">
        <v>15</v>
      </c>
      <c r="D34" t="s">
        <v>22</v>
      </c>
      <c r="E34">
        <v>6716</v>
      </c>
      <c r="F34">
        <v>147</v>
      </c>
      <c r="G34">
        <v>216.94</v>
      </c>
      <c r="H34">
        <v>12</v>
      </c>
      <c r="I34">
        <v>506.5</v>
      </c>
      <c r="J34">
        <v>8.1600000000000006E-2</v>
      </c>
      <c r="K34" s="6">
        <f t="shared" si="0"/>
        <v>2.1888028588445505</v>
      </c>
    </row>
    <row r="35" spans="1:11" x14ac:dyDescent="0.25">
      <c r="A35" s="1">
        <v>45568</v>
      </c>
      <c r="B35" t="s">
        <v>24</v>
      </c>
      <c r="C35" t="s">
        <v>11</v>
      </c>
      <c r="D35" t="s">
        <v>30</v>
      </c>
      <c r="E35">
        <v>23730</v>
      </c>
      <c r="F35">
        <v>851</v>
      </c>
      <c r="G35">
        <v>1197.02</v>
      </c>
      <c r="H35">
        <v>44</v>
      </c>
      <c r="I35">
        <v>5074.7700000000004</v>
      </c>
      <c r="J35">
        <v>5.1700000000000003E-2</v>
      </c>
      <c r="K35" s="6">
        <f t="shared" si="0"/>
        <v>3.5861778339654449</v>
      </c>
    </row>
    <row r="36" spans="1:11" x14ac:dyDescent="0.25">
      <c r="A36" s="1">
        <v>45568</v>
      </c>
      <c r="B36" t="s">
        <v>24</v>
      </c>
      <c r="C36" t="s">
        <v>13</v>
      </c>
      <c r="D36" t="s">
        <v>26</v>
      </c>
      <c r="E36">
        <v>66996</v>
      </c>
      <c r="F36">
        <v>1449</v>
      </c>
      <c r="G36">
        <v>2091.7399999999998</v>
      </c>
      <c r="H36">
        <v>164</v>
      </c>
      <c r="I36">
        <v>2740.8</v>
      </c>
      <c r="J36">
        <v>0.1132</v>
      </c>
      <c r="K36" s="6">
        <f t="shared" si="0"/>
        <v>2.1628156904889844</v>
      </c>
    </row>
    <row r="37" spans="1:11" x14ac:dyDescent="0.25">
      <c r="A37" s="1">
        <v>45568</v>
      </c>
      <c r="B37" t="s">
        <v>24</v>
      </c>
      <c r="C37" t="s">
        <v>15</v>
      </c>
      <c r="D37" t="s">
        <v>25</v>
      </c>
      <c r="E37">
        <v>7479</v>
      </c>
      <c r="F37">
        <v>223</v>
      </c>
      <c r="G37">
        <v>329.35</v>
      </c>
      <c r="H37">
        <v>6</v>
      </c>
      <c r="I37">
        <v>1447.14</v>
      </c>
      <c r="J37">
        <v>2.69E-2</v>
      </c>
      <c r="K37" s="6">
        <f t="shared" si="0"/>
        <v>2.9816820430538842</v>
      </c>
    </row>
    <row r="38" spans="1:11" x14ac:dyDescent="0.25">
      <c r="A38" s="1">
        <v>45569</v>
      </c>
      <c r="B38" t="s">
        <v>10</v>
      </c>
      <c r="C38" t="s">
        <v>11</v>
      </c>
      <c r="D38" t="s">
        <v>27</v>
      </c>
      <c r="E38">
        <v>27502</v>
      </c>
      <c r="F38">
        <v>327</v>
      </c>
      <c r="G38">
        <v>1388.31</v>
      </c>
      <c r="H38">
        <v>47</v>
      </c>
      <c r="I38">
        <v>4643.47</v>
      </c>
      <c r="J38">
        <v>0.14369999999999999</v>
      </c>
      <c r="K38" s="6">
        <f t="shared" si="0"/>
        <v>1.1890044360410152</v>
      </c>
    </row>
    <row r="39" spans="1:11" x14ac:dyDescent="0.25">
      <c r="A39" s="1">
        <v>45569</v>
      </c>
      <c r="B39" t="s">
        <v>10</v>
      </c>
      <c r="C39" t="s">
        <v>13</v>
      </c>
      <c r="D39" t="s">
        <v>14</v>
      </c>
      <c r="E39">
        <v>40501</v>
      </c>
      <c r="F39">
        <v>2316</v>
      </c>
      <c r="G39">
        <v>2714.45</v>
      </c>
      <c r="H39">
        <v>158</v>
      </c>
      <c r="I39">
        <v>5131.8599999999997</v>
      </c>
      <c r="J39">
        <v>6.8199999999999997E-2</v>
      </c>
      <c r="K39" s="6">
        <f t="shared" si="0"/>
        <v>5.7183773240166911</v>
      </c>
    </row>
    <row r="40" spans="1:11" x14ac:dyDescent="0.25">
      <c r="A40" s="1">
        <v>45569</v>
      </c>
      <c r="B40" t="s">
        <v>10</v>
      </c>
      <c r="C40" t="s">
        <v>15</v>
      </c>
      <c r="D40" t="s">
        <v>17</v>
      </c>
      <c r="E40">
        <v>5105</v>
      </c>
      <c r="F40">
        <v>133</v>
      </c>
      <c r="G40">
        <v>124.08</v>
      </c>
      <c r="H40">
        <v>11</v>
      </c>
      <c r="I40">
        <v>308.02999999999997</v>
      </c>
      <c r="J40">
        <v>8.2699999999999996E-2</v>
      </c>
      <c r="K40" s="6">
        <f t="shared" si="0"/>
        <v>2.6052889324191968</v>
      </c>
    </row>
    <row r="41" spans="1:11" x14ac:dyDescent="0.25">
      <c r="A41" s="1">
        <v>45569</v>
      </c>
      <c r="B41" t="s">
        <v>16</v>
      </c>
      <c r="C41" t="s">
        <v>11</v>
      </c>
      <c r="D41" t="s">
        <v>18</v>
      </c>
      <c r="E41">
        <v>19117</v>
      </c>
      <c r="F41">
        <v>731</v>
      </c>
      <c r="G41">
        <v>602.73</v>
      </c>
      <c r="H41">
        <v>15</v>
      </c>
      <c r="I41">
        <v>1800.45</v>
      </c>
      <c r="J41">
        <v>2.0500000000000001E-2</v>
      </c>
      <c r="K41" s="6">
        <f t="shared" si="0"/>
        <v>3.8238217293508394</v>
      </c>
    </row>
    <row r="42" spans="1:11" x14ac:dyDescent="0.25">
      <c r="A42" s="1">
        <v>45569</v>
      </c>
      <c r="B42" t="s">
        <v>16</v>
      </c>
      <c r="C42" t="s">
        <v>13</v>
      </c>
      <c r="D42" t="s">
        <v>19</v>
      </c>
      <c r="E42">
        <v>57935</v>
      </c>
      <c r="F42">
        <v>1459</v>
      </c>
      <c r="G42">
        <v>3600.58</v>
      </c>
      <c r="H42">
        <v>239</v>
      </c>
      <c r="I42">
        <v>17418.47</v>
      </c>
      <c r="J42">
        <v>0.1638</v>
      </c>
      <c r="K42" s="6">
        <f t="shared" si="0"/>
        <v>2.5183395184258219</v>
      </c>
    </row>
    <row r="43" spans="1:11" x14ac:dyDescent="0.25">
      <c r="A43" s="1">
        <v>45569</v>
      </c>
      <c r="B43" t="s">
        <v>16</v>
      </c>
      <c r="C43" t="s">
        <v>15</v>
      </c>
      <c r="D43" t="s">
        <v>19</v>
      </c>
      <c r="E43">
        <v>2254</v>
      </c>
      <c r="F43">
        <v>113</v>
      </c>
      <c r="G43">
        <v>119.78</v>
      </c>
      <c r="H43">
        <v>1</v>
      </c>
      <c r="I43">
        <v>426.55</v>
      </c>
      <c r="J43">
        <v>8.8000000000000005E-3</v>
      </c>
      <c r="K43" s="6">
        <f t="shared" si="0"/>
        <v>5.0133096716947652</v>
      </c>
    </row>
    <row r="44" spans="1:11" x14ac:dyDescent="0.25">
      <c r="A44" s="1">
        <v>45569</v>
      </c>
      <c r="B44" t="s">
        <v>20</v>
      </c>
      <c r="C44" t="s">
        <v>11</v>
      </c>
      <c r="D44" t="s">
        <v>21</v>
      </c>
      <c r="E44">
        <v>14136</v>
      </c>
      <c r="F44">
        <v>784</v>
      </c>
      <c r="G44">
        <v>1103.3499999999999</v>
      </c>
      <c r="H44">
        <v>46</v>
      </c>
      <c r="I44">
        <v>5297.71</v>
      </c>
      <c r="J44">
        <v>5.8700000000000002E-2</v>
      </c>
      <c r="K44" s="6">
        <f t="shared" si="0"/>
        <v>5.5461233729485002</v>
      </c>
    </row>
    <row r="45" spans="1:11" x14ac:dyDescent="0.25">
      <c r="A45" s="1">
        <v>45569</v>
      </c>
      <c r="B45" t="s">
        <v>20</v>
      </c>
      <c r="C45" t="s">
        <v>13</v>
      </c>
      <c r="D45" t="s">
        <v>27</v>
      </c>
      <c r="E45">
        <v>51793</v>
      </c>
      <c r="F45">
        <v>2570</v>
      </c>
      <c r="G45">
        <v>2475.58</v>
      </c>
      <c r="H45">
        <v>195</v>
      </c>
      <c r="I45">
        <v>8683.2000000000007</v>
      </c>
      <c r="J45">
        <v>7.5899999999999995E-2</v>
      </c>
      <c r="K45" s="6">
        <f t="shared" si="0"/>
        <v>4.9620605101075439</v>
      </c>
    </row>
    <row r="46" spans="1:11" x14ac:dyDescent="0.25">
      <c r="A46" s="1">
        <v>45569</v>
      </c>
      <c r="B46" t="s">
        <v>20</v>
      </c>
      <c r="C46" t="s">
        <v>15</v>
      </c>
      <c r="D46" t="s">
        <v>22</v>
      </c>
      <c r="E46">
        <v>3341</v>
      </c>
      <c r="F46">
        <v>129</v>
      </c>
      <c r="G46">
        <v>87.83</v>
      </c>
      <c r="H46">
        <v>1</v>
      </c>
      <c r="I46">
        <v>415.42</v>
      </c>
      <c r="J46">
        <v>7.7999999999999996E-3</v>
      </c>
      <c r="K46" s="6">
        <f t="shared" si="0"/>
        <v>3.86111942532176</v>
      </c>
    </row>
    <row r="47" spans="1:11" x14ac:dyDescent="0.25">
      <c r="A47" s="1">
        <v>45569</v>
      </c>
      <c r="B47" t="s">
        <v>24</v>
      </c>
      <c r="C47" t="s">
        <v>11</v>
      </c>
      <c r="D47" t="s">
        <v>30</v>
      </c>
      <c r="E47">
        <v>22997</v>
      </c>
      <c r="F47">
        <v>503</v>
      </c>
      <c r="G47">
        <v>391.2</v>
      </c>
      <c r="H47">
        <v>54</v>
      </c>
      <c r="I47">
        <v>1704.13</v>
      </c>
      <c r="J47">
        <v>0.1074</v>
      </c>
      <c r="K47" s="6">
        <f t="shared" si="0"/>
        <v>2.1872418141496719</v>
      </c>
    </row>
    <row r="48" spans="1:11" x14ac:dyDescent="0.25">
      <c r="A48" s="1">
        <v>45569</v>
      </c>
      <c r="B48" t="s">
        <v>24</v>
      </c>
      <c r="C48" t="s">
        <v>13</v>
      </c>
      <c r="D48" t="s">
        <v>26</v>
      </c>
      <c r="E48">
        <v>41678</v>
      </c>
      <c r="F48">
        <v>2427</v>
      </c>
      <c r="G48">
        <v>4089.92</v>
      </c>
      <c r="H48">
        <v>215</v>
      </c>
      <c r="I48">
        <v>14239.32</v>
      </c>
      <c r="J48">
        <v>8.8599999999999998E-2</v>
      </c>
      <c r="K48" s="6">
        <f t="shared" si="0"/>
        <v>5.8232160852248187</v>
      </c>
    </row>
    <row r="49" spans="1:11" x14ac:dyDescent="0.25">
      <c r="A49" s="1">
        <v>45569</v>
      </c>
      <c r="B49" t="s">
        <v>24</v>
      </c>
      <c r="C49" t="s">
        <v>15</v>
      </c>
      <c r="D49" t="s">
        <v>29</v>
      </c>
      <c r="E49">
        <v>6636</v>
      </c>
      <c r="F49">
        <v>250</v>
      </c>
      <c r="G49">
        <v>64.37</v>
      </c>
      <c r="H49">
        <v>18</v>
      </c>
      <c r="I49">
        <v>182.03</v>
      </c>
      <c r="J49">
        <v>7.1999999999999995E-2</v>
      </c>
      <c r="K49" s="6">
        <f t="shared" si="0"/>
        <v>3.7673297166968052</v>
      </c>
    </row>
    <row r="50" spans="1:11" x14ac:dyDescent="0.25">
      <c r="A50" s="1">
        <v>45570</v>
      </c>
      <c r="B50" t="s">
        <v>10</v>
      </c>
      <c r="C50" t="s">
        <v>11</v>
      </c>
      <c r="D50" t="s">
        <v>17</v>
      </c>
      <c r="E50">
        <v>12259</v>
      </c>
      <c r="F50">
        <v>818</v>
      </c>
      <c r="G50">
        <v>1077.05</v>
      </c>
      <c r="H50">
        <v>10</v>
      </c>
      <c r="I50">
        <v>4769.59</v>
      </c>
      <c r="J50">
        <v>1.2200000000000001E-2</v>
      </c>
      <c r="K50" s="6">
        <f t="shared" si="0"/>
        <v>6.6726486662859932</v>
      </c>
    </row>
    <row r="51" spans="1:11" x14ac:dyDescent="0.25">
      <c r="A51" s="1">
        <v>45570</v>
      </c>
      <c r="B51" t="s">
        <v>10</v>
      </c>
      <c r="C51" t="s">
        <v>13</v>
      </c>
      <c r="D51" t="s">
        <v>12</v>
      </c>
      <c r="E51">
        <v>41916</v>
      </c>
      <c r="F51">
        <v>1887</v>
      </c>
      <c r="G51">
        <v>4843.1499999999996</v>
      </c>
      <c r="H51">
        <v>202</v>
      </c>
      <c r="I51">
        <v>22220.3</v>
      </c>
      <c r="J51">
        <v>0.107</v>
      </c>
      <c r="K51" s="6">
        <f t="shared" si="0"/>
        <v>4.5018608645863161</v>
      </c>
    </row>
    <row r="52" spans="1:11" x14ac:dyDescent="0.25">
      <c r="A52" s="1">
        <v>45570</v>
      </c>
      <c r="B52" t="s">
        <v>10</v>
      </c>
      <c r="C52" t="s">
        <v>15</v>
      </c>
      <c r="D52" t="s">
        <v>12</v>
      </c>
      <c r="E52">
        <v>7794</v>
      </c>
      <c r="F52">
        <v>89</v>
      </c>
      <c r="G52">
        <v>202.42</v>
      </c>
      <c r="H52">
        <v>17</v>
      </c>
      <c r="I52">
        <v>985.54</v>
      </c>
      <c r="J52">
        <v>0.191</v>
      </c>
      <c r="K52" s="6">
        <f t="shared" si="0"/>
        <v>1.1419040287400566</v>
      </c>
    </row>
    <row r="53" spans="1:11" x14ac:dyDescent="0.25">
      <c r="A53" s="1">
        <v>45570</v>
      </c>
      <c r="B53" t="s">
        <v>16</v>
      </c>
      <c r="C53" t="s">
        <v>11</v>
      </c>
      <c r="D53" t="s">
        <v>28</v>
      </c>
      <c r="E53">
        <v>27634</v>
      </c>
      <c r="F53">
        <v>795</v>
      </c>
      <c r="G53">
        <v>857.85</v>
      </c>
      <c r="H53">
        <v>56</v>
      </c>
      <c r="I53">
        <v>2960.79</v>
      </c>
      <c r="J53">
        <v>7.0400000000000004E-2</v>
      </c>
      <c r="K53" s="6">
        <f t="shared" si="0"/>
        <v>2.8768907867120217</v>
      </c>
    </row>
    <row r="54" spans="1:11" x14ac:dyDescent="0.25">
      <c r="A54" s="1">
        <v>45570</v>
      </c>
      <c r="B54" t="s">
        <v>16</v>
      </c>
      <c r="C54" t="s">
        <v>13</v>
      </c>
      <c r="D54" t="s">
        <v>28</v>
      </c>
      <c r="E54">
        <v>51088</v>
      </c>
      <c r="F54">
        <v>2701</v>
      </c>
      <c r="G54">
        <v>4738.49</v>
      </c>
      <c r="H54">
        <v>111</v>
      </c>
      <c r="I54">
        <v>21561.07</v>
      </c>
      <c r="J54">
        <v>4.1099999999999998E-2</v>
      </c>
      <c r="K54" s="6">
        <f t="shared" si="0"/>
        <v>5.2869558409019728</v>
      </c>
    </row>
    <row r="55" spans="1:11" x14ac:dyDescent="0.25">
      <c r="A55" s="1">
        <v>45570</v>
      </c>
      <c r="B55" t="s">
        <v>16</v>
      </c>
      <c r="C55" t="s">
        <v>15</v>
      </c>
      <c r="D55" t="s">
        <v>17</v>
      </c>
      <c r="E55">
        <v>5806</v>
      </c>
      <c r="F55">
        <v>195</v>
      </c>
      <c r="G55">
        <v>263.62</v>
      </c>
      <c r="H55">
        <v>13</v>
      </c>
      <c r="I55">
        <v>653.33000000000004</v>
      </c>
      <c r="J55">
        <v>6.6699999999999995E-2</v>
      </c>
      <c r="K55" s="6">
        <f t="shared" si="0"/>
        <v>3.3585945573544604</v>
      </c>
    </row>
    <row r="56" spans="1:11" x14ac:dyDescent="0.25">
      <c r="A56" s="1">
        <v>45570</v>
      </c>
      <c r="B56" t="s">
        <v>20</v>
      </c>
      <c r="C56" t="s">
        <v>11</v>
      </c>
      <c r="D56" t="s">
        <v>27</v>
      </c>
      <c r="E56">
        <v>20650</v>
      </c>
      <c r="F56">
        <v>486</v>
      </c>
      <c r="G56">
        <v>885.06</v>
      </c>
      <c r="H56">
        <v>32</v>
      </c>
      <c r="I56">
        <v>3745.36</v>
      </c>
      <c r="J56">
        <v>6.5799999999999997E-2</v>
      </c>
      <c r="K56" s="6">
        <f t="shared" si="0"/>
        <v>2.3535108958837774</v>
      </c>
    </row>
    <row r="57" spans="1:11" x14ac:dyDescent="0.25">
      <c r="A57" s="1">
        <v>45570</v>
      </c>
      <c r="B57" t="s">
        <v>20</v>
      </c>
      <c r="C57" t="s">
        <v>13</v>
      </c>
      <c r="D57" t="s">
        <v>23</v>
      </c>
      <c r="E57">
        <v>53327</v>
      </c>
      <c r="F57">
        <v>2802</v>
      </c>
      <c r="G57">
        <v>3384.62</v>
      </c>
      <c r="H57">
        <v>110</v>
      </c>
      <c r="I57">
        <v>11209.88</v>
      </c>
      <c r="J57">
        <v>3.9300000000000002E-2</v>
      </c>
      <c r="K57" s="6">
        <f t="shared" si="0"/>
        <v>5.2543739569073828</v>
      </c>
    </row>
    <row r="58" spans="1:11" x14ac:dyDescent="0.25">
      <c r="A58" s="1">
        <v>45570</v>
      </c>
      <c r="B58" t="s">
        <v>20</v>
      </c>
      <c r="C58" t="s">
        <v>15</v>
      </c>
      <c r="D58" t="s">
        <v>21</v>
      </c>
      <c r="E58">
        <v>2701</v>
      </c>
      <c r="F58">
        <v>111</v>
      </c>
      <c r="G58">
        <v>302.02999999999997</v>
      </c>
      <c r="H58">
        <v>16</v>
      </c>
      <c r="I58">
        <v>999.62</v>
      </c>
      <c r="J58">
        <v>0.14410000000000001</v>
      </c>
      <c r="K58" s="6">
        <f t="shared" si="0"/>
        <v>4.10958904109589</v>
      </c>
    </row>
    <row r="59" spans="1:11" x14ac:dyDescent="0.25">
      <c r="A59" s="1">
        <v>45570</v>
      </c>
      <c r="B59" t="s">
        <v>24</v>
      </c>
      <c r="C59" t="s">
        <v>11</v>
      </c>
      <c r="D59" t="s">
        <v>26</v>
      </c>
      <c r="E59">
        <v>25600</v>
      </c>
      <c r="F59">
        <v>802</v>
      </c>
      <c r="G59">
        <v>837.81</v>
      </c>
      <c r="H59">
        <v>11</v>
      </c>
      <c r="I59">
        <v>1301.6199999999999</v>
      </c>
      <c r="J59">
        <v>1.37E-2</v>
      </c>
      <c r="K59" s="6">
        <f t="shared" si="0"/>
        <v>3.1328125</v>
      </c>
    </row>
    <row r="60" spans="1:11" x14ac:dyDescent="0.25">
      <c r="A60" s="1">
        <v>45570</v>
      </c>
      <c r="B60" t="s">
        <v>24</v>
      </c>
      <c r="C60" t="s">
        <v>13</v>
      </c>
      <c r="D60" t="s">
        <v>26</v>
      </c>
      <c r="E60">
        <v>61502</v>
      </c>
      <c r="F60">
        <v>2416</v>
      </c>
      <c r="G60">
        <v>1973.22</v>
      </c>
      <c r="H60">
        <v>209</v>
      </c>
      <c r="I60">
        <v>6728.51</v>
      </c>
      <c r="J60">
        <v>8.6499999999999994E-2</v>
      </c>
      <c r="K60" s="6">
        <f t="shared" si="0"/>
        <v>3.928327534063933</v>
      </c>
    </row>
    <row r="61" spans="1:11" x14ac:dyDescent="0.25">
      <c r="A61" s="1">
        <v>45570</v>
      </c>
      <c r="B61" t="s">
        <v>24</v>
      </c>
      <c r="C61" t="s">
        <v>15</v>
      </c>
      <c r="D61" t="s">
        <v>30</v>
      </c>
      <c r="E61">
        <v>6534</v>
      </c>
      <c r="F61">
        <v>185</v>
      </c>
      <c r="G61">
        <v>170.32</v>
      </c>
      <c r="H61">
        <v>18</v>
      </c>
      <c r="I61">
        <v>418.48</v>
      </c>
      <c r="J61">
        <v>9.7299999999999998E-2</v>
      </c>
      <c r="K61" s="6">
        <f t="shared" si="0"/>
        <v>2.8313437404346495</v>
      </c>
    </row>
    <row r="62" spans="1:11" x14ac:dyDescent="0.25">
      <c r="A62" s="1">
        <v>45571</v>
      </c>
      <c r="B62" t="s">
        <v>10</v>
      </c>
      <c r="C62" t="s">
        <v>11</v>
      </c>
      <c r="D62" t="s">
        <v>12</v>
      </c>
      <c r="E62">
        <v>18877</v>
      </c>
      <c r="F62">
        <v>613</v>
      </c>
      <c r="G62">
        <v>601.67999999999995</v>
      </c>
      <c r="H62">
        <v>17</v>
      </c>
      <c r="I62">
        <v>2371.15</v>
      </c>
      <c r="J62">
        <v>2.7699999999999999E-2</v>
      </c>
      <c r="K62" s="6">
        <f t="shared" si="0"/>
        <v>3.247338030407374</v>
      </c>
    </row>
    <row r="63" spans="1:11" x14ac:dyDescent="0.25">
      <c r="A63" s="1">
        <v>45571</v>
      </c>
      <c r="B63" t="s">
        <v>10</v>
      </c>
      <c r="C63" t="s">
        <v>13</v>
      </c>
      <c r="D63" t="s">
        <v>17</v>
      </c>
      <c r="E63">
        <v>42835</v>
      </c>
      <c r="F63">
        <v>2521</v>
      </c>
      <c r="G63">
        <v>3143.46</v>
      </c>
      <c r="H63">
        <v>235</v>
      </c>
      <c r="I63">
        <v>12016.26</v>
      </c>
      <c r="J63">
        <v>9.3200000000000005E-2</v>
      </c>
      <c r="K63" s="6">
        <f t="shared" si="0"/>
        <v>5.8853741099568113</v>
      </c>
    </row>
    <row r="64" spans="1:11" x14ac:dyDescent="0.25">
      <c r="A64" s="1">
        <v>45571</v>
      </c>
      <c r="B64" t="s">
        <v>10</v>
      </c>
      <c r="C64" t="s">
        <v>15</v>
      </c>
      <c r="D64" t="s">
        <v>27</v>
      </c>
      <c r="E64">
        <v>3772</v>
      </c>
      <c r="F64">
        <v>239</v>
      </c>
      <c r="G64">
        <v>219.47</v>
      </c>
      <c r="H64">
        <v>19</v>
      </c>
      <c r="I64">
        <v>1077.8399999999999</v>
      </c>
      <c r="J64">
        <v>7.9500000000000001E-2</v>
      </c>
      <c r="K64" s="6">
        <f t="shared" si="0"/>
        <v>6.336161187698834</v>
      </c>
    </row>
    <row r="65" spans="1:11" x14ac:dyDescent="0.25">
      <c r="A65" s="1">
        <v>45571</v>
      </c>
      <c r="B65" t="s">
        <v>16</v>
      </c>
      <c r="C65" t="s">
        <v>11</v>
      </c>
      <c r="D65" t="s">
        <v>28</v>
      </c>
      <c r="E65">
        <v>13294</v>
      </c>
      <c r="F65">
        <v>498</v>
      </c>
      <c r="G65">
        <v>655.5</v>
      </c>
      <c r="H65">
        <v>33</v>
      </c>
      <c r="I65">
        <v>1233.57</v>
      </c>
      <c r="J65">
        <v>6.6299999999999998E-2</v>
      </c>
      <c r="K65" s="6">
        <f t="shared" si="0"/>
        <v>3.746050850007522</v>
      </c>
    </row>
    <row r="66" spans="1:11" x14ac:dyDescent="0.25">
      <c r="A66" s="1">
        <v>45571</v>
      </c>
      <c r="B66" t="s">
        <v>16</v>
      </c>
      <c r="C66" t="s">
        <v>13</v>
      </c>
      <c r="D66" t="s">
        <v>19</v>
      </c>
      <c r="E66">
        <v>43295</v>
      </c>
      <c r="F66">
        <v>1561</v>
      </c>
      <c r="G66">
        <v>1182.06</v>
      </c>
      <c r="H66">
        <v>53</v>
      </c>
      <c r="I66">
        <v>3904.07</v>
      </c>
      <c r="J66">
        <v>3.4000000000000002E-2</v>
      </c>
      <c r="K66" s="6">
        <f t="shared" si="0"/>
        <v>3.6054971705739693</v>
      </c>
    </row>
    <row r="67" spans="1:11" x14ac:dyDescent="0.25">
      <c r="A67" s="1">
        <v>45571</v>
      </c>
      <c r="B67" t="s">
        <v>16</v>
      </c>
      <c r="C67" t="s">
        <v>15</v>
      </c>
      <c r="D67" t="s">
        <v>17</v>
      </c>
      <c r="E67">
        <v>7225</v>
      </c>
      <c r="F67">
        <v>242</v>
      </c>
      <c r="G67">
        <v>221.81</v>
      </c>
      <c r="H67">
        <v>1</v>
      </c>
      <c r="I67">
        <v>750.04</v>
      </c>
      <c r="J67">
        <v>4.1000000000000003E-3</v>
      </c>
      <c r="K67" s="6">
        <f t="shared" ref="K67:K130" si="1">(F67/E67) *100</f>
        <v>3.3494809688581317</v>
      </c>
    </row>
    <row r="68" spans="1:11" x14ac:dyDescent="0.25">
      <c r="A68" s="1">
        <v>45571</v>
      </c>
      <c r="B68" t="s">
        <v>20</v>
      </c>
      <c r="C68" t="s">
        <v>11</v>
      </c>
      <c r="D68" t="s">
        <v>27</v>
      </c>
      <c r="E68">
        <v>25686</v>
      </c>
      <c r="F68">
        <v>751</v>
      </c>
      <c r="G68">
        <v>708.85</v>
      </c>
      <c r="H68">
        <v>13</v>
      </c>
      <c r="I68">
        <v>1530.7</v>
      </c>
      <c r="J68">
        <v>1.7299999999999999E-2</v>
      </c>
      <c r="K68" s="6">
        <f t="shared" si="1"/>
        <v>2.923771704430429</v>
      </c>
    </row>
    <row r="69" spans="1:11" x14ac:dyDescent="0.25">
      <c r="A69" s="1">
        <v>45571</v>
      </c>
      <c r="B69" t="s">
        <v>20</v>
      </c>
      <c r="C69" t="s">
        <v>13</v>
      </c>
      <c r="D69" t="s">
        <v>27</v>
      </c>
      <c r="E69">
        <v>42476</v>
      </c>
      <c r="F69">
        <v>2683</v>
      </c>
      <c r="G69">
        <v>1261.3699999999999</v>
      </c>
      <c r="H69">
        <v>165</v>
      </c>
      <c r="I69">
        <v>1868.74</v>
      </c>
      <c r="J69">
        <v>6.1499999999999999E-2</v>
      </c>
      <c r="K69" s="6">
        <f t="shared" si="1"/>
        <v>6.3165081457764378</v>
      </c>
    </row>
    <row r="70" spans="1:11" x14ac:dyDescent="0.25">
      <c r="A70" s="1">
        <v>45571</v>
      </c>
      <c r="B70" t="s">
        <v>20</v>
      </c>
      <c r="C70" t="s">
        <v>15</v>
      </c>
      <c r="D70" t="s">
        <v>22</v>
      </c>
      <c r="E70">
        <v>3242</v>
      </c>
      <c r="F70">
        <v>88</v>
      </c>
      <c r="G70">
        <v>333.9</v>
      </c>
      <c r="H70">
        <v>10</v>
      </c>
      <c r="I70">
        <v>508.76</v>
      </c>
      <c r="J70">
        <v>0.11360000000000001</v>
      </c>
      <c r="K70" s="6">
        <f t="shared" si="1"/>
        <v>2.7143738433066007</v>
      </c>
    </row>
    <row r="71" spans="1:11" x14ac:dyDescent="0.25">
      <c r="A71" s="1">
        <v>45571</v>
      </c>
      <c r="B71" t="s">
        <v>24</v>
      </c>
      <c r="C71" t="s">
        <v>11</v>
      </c>
      <c r="D71" t="s">
        <v>26</v>
      </c>
      <c r="E71">
        <v>13881</v>
      </c>
      <c r="F71">
        <v>871</v>
      </c>
      <c r="G71">
        <v>1217.33</v>
      </c>
      <c r="H71">
        <v>48</v>
      </c>
      <c r="I71">
        <v>4218.3900000000003</v>
      </c>
      <c r="J71">
        <v>5.5100000000000003E-2</v>
      </c>
      <c r="K71" s="6">
        <f t="shared" si="1"/>
        <v>6.2747640659894826</v>
      </c>
    </row>
    <row r="72" spans="1:11" x14ac:dyDescent="0.25">
      <c r="A72" s="1">
        <v>45571</v>
      </c>
      <c r="B72" t="s">
        <v>24</v>
      </c>
      <c r="C72" t="s">
        <v>13</v>
      </c>
      <c r="D72" t="s">
        <v>26</v>
      </c>
      <c r="E72">
        <v>69247</v>
      </c>
      <c r="F72">
        <v>1779</v>
      </c>
      <c r="G72">
        <v>2802.06</v>
      </c>
      <c r="H72">
        <v>153</v>
      </c>
      <c r="I72">
        <v>6528.64</v>
      </c>
      <c r="J72">
        <v>8.5999999999999993E-2</v>
      </c>
      <c r="K72" s="6">
        <f t="shared" si="1"/>
        <v>2.5690643637991539</v>
      </c>
    </row>
    <row r="73" spans="1:11" x14ac:dyDescent="0.25">
      <c r="A73" s="1">
        <v>45571</v>
      </c>
      <c r="B73" t="s">
        <v>24</v>
      </c>
      <c r="C73" t="s">
        <v>15</v>
      </c>
      <c r="D73" t="s">
        <v>30</v>
      </c>
      <c r="E73">
        <v>4501</v>
      </c>
      <c r="F73">
        <v>195</v>
      </c>
      <c r="G73">
        <v>267.36</v>
      </c>
      <c r="H73">
        <v>20</v>
      </c>
      <c r="I73">
        <v>1296.27</v>
      </c>
      <c r="J73">
        <v>0.1026</v>
      </c>
      <c r="K73" s="6">
        <f t="shared" si="1"/>
        <v>4.3323705843145968</v>
      </c>
    </row>
    <row r="74" spans="1:11" x14ac:dyDescent="0.25">
      <c r="A74" s="1">
        <v>45572</v>
      </c>
      <c r="B74" t="s">
        <v>10</v>
      </c>
      <c r="C74" t="s">
        <v>11</v>
      </c>
      <c r="D74" t="s">
        <v>14</v>
      </c>
      <c r="E74">
        <v>16808</v>
      </c>
      <c r="F74">
        <v>516</v>
      </c>
      <c r="G74">
        <v>617.58000000000004</v>
      </c>
      <c r="H74">
        <v>15</v>
      </c>
      <c r="I74">
        <v>1109.68</v>
      </c>
      <c r="J74">
        <v>2.9100000000000001E-2</v>
      </c>
      <c r="K74" s="6">
        <f t="shared" si="1"/>
        <v>3.0699666825321277</v>
      </c>
    </row>
    <row r="75" spans="1:11" x14ac:dyDescent="0.25">
      <c r="A75" s="1">
        <v>45572</v>
      </c>
      <c r="B75" t="s">
        <v>10</v>
      </c>
      <c r="C75" t="s">
        <v>13</v>
      </c>
      <c r="D75" t="s">
        <v>27</v>
      </c>
      <c r="E75">
        <v>39919</v>
      </c>
      <c r="F75">
        <v>1320</v>
      </c>
      <c r="G75">
        <v>1010.7</v>
      </c>
      <c r="H75">
        <v>155</v>
      </c>
      <c r="I75">
        <v>3860.48</v>
      </c>
      <c r="J75">
        <v>0.1174</v>
      </c>
      <c r="K75" s="6">
        <f t="shared" si="1"/>
        <v>3.3066960595205295</v>
      </c>
    </row>
    <row r="76" spans="1:11" x14ac:dyDescent="0.25">
      <c r="A76" s="1">
        <v>45572</v>
      </c>
      <c r="B76" t="s">
        <v>10</v>
      </c>
      <c r="C76" t="s">
        <v>15</v>
      </c>
      <c r="D76" t="s">
        <v>12</v>
      </c>
      <c r="E76">
        <v>4385</v>
      </c>
      <c r="F76">
        <v>58</v>
      </c>
      <c r="G76">
        <v>131.02000000000001</v>
      </c>
      <c r="H76">
        <v>10</v>
      </c>
      <c r="I76">
        <v>507.22</v>
      </c>
      <c r="J76">
        <v>0.1724</v>
      </c>
      <c r="K76" s="6">
        <f t="shared" si="1"/>
        <v>1.3226909920182441</v>
      </c>
    </row>
    <row r="77" spans="1:11" x14ac:dyDescent="0.25">
      <c r="A77" s="1">
        <v>45572</v>
      </c>
      <c r="B77" t="s">
        <v>16</v>
      </c>
      <c r="C77" t="s">
        <v>11</v>
      </c>
      <c r="D77" t="s">
        <v>18</v>
      </c>
      <c r="E77">
        <v>12332</v>
      </c>
      <c r="F77">
        <v>539</v>
      </c>
      <c r="G77">
        <v>1408.69</v>
      </c>
      <c r="H77">
        <v>60</v>
      </c>
      <c r="I77">
        <v>5925.99</v>
      </c>
      <c r="J77">
        <v>0.1113</v>
      </c>
      <c r="K77" s="6">
        <f t="shared" si="1"/>
        <v>4.3707427830035677</v>
      </c>
    </row>
    <row r="78" spans="1:11" x14ac:dyDescent="0.25">
      <c r="A78" s="1">
        <v>45572</v>
      </c>
      <c r="B78" t="s">
        <v>16</v>
      </c>
      <c r="C78" t="s">
        <v>13</v>
      </c>
      <c r="D78" t="s">
        <v>17</v>
      </c>
      <c r="E78">
        <v>62861</v>
      </c>
      <c r="F78">
        <v>1235</v>
      </c>
      <c r="G78">
        <v>3178.25</v>
      </c>
      <c r="H78">
        <v>205</v>
      </c>
      <c r="I78">
        <v>5613.3</v>
      </c>
      <c r="J78">
        <v>0.16600000000000001</v>
      </c>
      <c r="K78" s="6">
        <f t="shared" si="1"/>
        <v>1.9646521690714434</v>
      </c>
    </row>
    <row r="79" spans="1:11" x14ac:dyDescent="0.25">
      <c r="A79" s="1">
        <v>45572</v>
      </c>
      <c r="B79" t="s">
        <v>16</v>
      </c>
      <c r="C79" t="s">
        <v>15</v>
      </c>
      <c r="D79" t="s">
        <v>28</v>
      </c>
      <c r="E79">
        <v>3165</v>
      </c>
      <c r="F79">
        <v>68</v>
      </c>
      <c r="G79">
        <v>70.87</v>
      </c>
      <c r="H79">
        <v>10</v>
      </c>
      <c r="I79">
        <v>245.29</v>
      </c>
      <c r="J79">
        <v>0.14710000000000001</v>
      </c>
      <c r="K79" s="6">
        <f t="shared" si="1"/>
        <v>2.1484992101105842</v>
      </c>
    </row>
    <row r="80" spans="1:11" x14ac:dyDescent="0.25">
      <c r="A80" s="1">
        <v>45572</v>
      </c>
      <c r="B80" t="s">
        <v>20</v>
      </c>
      <c r="C80" t="s">
        <v>11</v>
      </c>
      <c r="D80" t="s">
        <v>23</v>
      </c>
      <c r="E80">
        <v>24390</v>
      </c>
      <c r="F80">
        <v>427</v>
      </c>
      <c r="G80">
        <v>862.44</v>
      </c>
      <c r="H80">
        <v>29</v>
      </c>
      <c r="I80">
        <v>3328.15</v>
      </c>
      <c r="J80">
        <v>6.7900000000000002E-2</v>
      </c>
      <c r="K80" s="6">
        <f t="shared" si="1"/>
        <v>1.7507175071750716</v>
      </c>
    </row>
    <row r="81" spans="1:11" x14ac:dyDescent="0.25">
      <c r="A81" s="1">
        <v>45572</v>
      </c>
      <c r="B81" t="s">
        <v>20</v>
      </c>
      <c r="C81" t="s">
        <v>13</v>
      </c>
      <c r="D81" t="s">
        <v>23</v>
      </c>
      <c r="E81">
        <v>67798</v>
      </c>
      <c r="F81">
        <v>2105</v>
      </c>
      <c r="G81">
        <v>2975.18</v>
      </c>
      <c r="H81">
        <v>60</v>
      </c>
      <c r="I81">
        <v>10331.43</v>
      </c>
      <c r="J81">
        <v>2.8500000000000001E-2</v>
      </c>
      <c r="K81" s="6">
        <f t="shared" si="1"/>
        <v>3.1048113513672972</v>
      </c>
    </row>
    <row r="82" spans="1:11" x14ac:dyDescent="0.25">
      <c r="A82" s="1">
        <v>45572</v>
      </c>
      <c r="B82" t="s">
        <v>20</v>
      </c>
      <c r="C82" t="s">
        <v>15</v>
      </c>
      <c r="D82" t="s">
        <v>27</v>
      </c>
      <c r="E82">
        <v>4640</v>
      </c>
      <c r="F82">
        <v>204</v>
      </c>
      <c r="G82">
        <v>137.63</v>
      </c>
      <c r="H82">
        <v>3</v>
      </c>
      <c r="I82">
        <v>284.88</v>
      </c>
      <c r="J82">
        <v>1.47E-2</v>
      </c>
      <c r="K82" s="6">
        <f t="shared" si="1"/>
        <v>4.3965517241379306</v>
      </c>
    </row>
    <row r="83" spans="1:11" x14ac:dyDescent="0.25">
      <c r="A83" s="1">
        <v>45572</v>
      </c>
      <c r="B83" t="s">
        <v>24</v>
      </c>
      <c r="C83" t="s">
        <v>11</v>
      </c>
      <c r="D83" t="s">
        <v>29</v>
      </c>
      <c r="E83">
        <v>18831</v>
      </c>
      <c r="F83">
        <v>890</v>
      </c>
      <c r="G83">
        <v>348.28</v>
      </c>
      <c r="H83">
        <v>58</v>
      </c>
      <c r="I83">
        <v>649.79</v>
      </c>
      <c r="J83">
        <v>6.5199999999999994E-2</v>
      </c>
      <c r="K83" s="6">
        <f t="shared" si="1"/>
        <v>4.7262492698210394</v>
      </c>
    </row>
    <row r="84" spans="1:11" x14ac:dyDescent="0.25">
      <c r="A84" s="1">
        <v>45572</v>
      </c>
      <c r="B84" t="s">
        <v>24</v>
      </c>
      <c r="C84" t="s">
        <v>13</v>
      </c>
      <c r="D84" t="s">
        <v>30</v>
      </c>
      <c r="E84">
        <v>53229</v>
      </c>
      <c r="F84">
        <v>1371</v>
      </c>
      <c r="G84">
        <v>4987.78</v>
      </c>
      <c r="H84">
        <v>151</v>
      </c>
      <c r="I84">
        <v>18016.77</v>
      </c>
      <c r="J84">
        <v>0.1101</v>
      </c>
      <c r="K84" s="6">
        <f t="shared" si="1"/>
        <v>2.5756636419996615</v>
      </c>
    </row>
    <row r="85" spans="1:11" x14ac:dyDescent="0.25">
      <c r="A85" s="1">
        <v>45572</v>
      </c>
      <c r="B85" t="s">
        <v>24</v>
      </c>
      <c r="C85" t="s">
        <v>15</v>
      </c>
      <c r="D85" t="s">
        <v>30</v>
      </c>
      <c r="E85">
        <v>2747</v>
      </c>
      <c r="F85">
        <v>170</v>
      </c>
      <c r="G85">
        <v>171.79</v>
      </c>
      <c r="H85">
        <v>11</v>
      </c>
      <c r="I85">
        <v>415.74</v>
      </c>
      <c r="J85">
        <v>6.4699999999999994E-2</v>
      </c>
      <c r="K85" s="6">
        <f t="shared" si="1"/>
        <v>6.1885693483800512</v>
      </c>
    </row>
    <row r="86" spans="1:11" x14ac:dyDescent="0.25">
      <c r="A86" s="1">
        <v>45573</v>
      </c>
      <c r="B86" t="s">
        <v>10</v>
      </c>
      <c r="C86" t="s">
        <v>11</v>
      </c>
      <c r="D86" t="s">
        <v>14</v>
      </c>
      <c r="E86">
        <v>15269</v>
      </c>
      <c r="F86">
        <v>637</v>
      </c>
      <c r="G86">
        <v>793.97</v>
      </c>
      <c r="H86">
        <v>41</v>
      </c>
      <c r="I86">
        <v>1822.34</v>
      </c>
      <c r="J86">
        <v>6.4399999999999999E-2</v>
      </c>
      <c r="K86" s="6">
        <f t="shared" si="1"/>
        <v>4.1718514637500821</v>
      </c>
    </row>
    <row r="87" spans="1:11" x14ac:dyDescent="0.25">
      <c r="A87" s="1">
        <v>45573</v>
      </c>
      <c r="B87" t="s">
        <v>10</v>
      </c>
      <c r="C87" t="s">
        <v>13</v>
      </c>
      <c r="D87" t="s">
        <v>12</v>
      </c>
      <c r="E87">
        <v>37404</v>
      </c>
      <c r="F87">
        <v>1931</v>
      </c>
      <c r="G87">
        <v>1352.24</v>
      </c>
      <c r="H87">
        <v>104</v>
      </c>
      <c r="I87">
        <v>3283.83</v>
      </c>
      <c r="J87">
        <v>5.3900000000000003E-2</v>
      </c>
      <c r="K87" s="6">
        <f t="shared" si="1"/>
        <v>5.1625494599508075</v>
      </c>
    </row>
    <row r="88" spans="1:11" x14ac:dyDescent="0.25">
      <c r="A88" s="1">
        <v>45573</v>
      </c>
      <c r="B88" t="s">
        <v>10</v>
      </c>
      <c r="C88" t="s">
        <v>15</v>
      </c>
      <c r="D88" t="s">
        <v>12</v>
      </c>
      <c r="E88">
        <v>6215</v>
      </c>
      <c r="F88">
        <v>50</v>
      </c>
      <c r="G88">
        <v>280.18</v>
      </c>
      <c r="H88">
        <v>18</v>
      </c>
      <c r="I88">
        <v>828.07</v>
      </c>
      <c r="J88">
        <v>0.36</v>
      </c>
      <c r="K88" s="6">
        <f t="shared" si="1"/>
        <v>0.80450522928399038</v>
      </c>
    </row>
    <row r="89" spans="1:11" x14ac:dyDescent="0.25">
      <c r="A89" s="1">
        <v>45573</v>
      </c>
      <c r="B89" t="s">
        <v>16</v>
      </c>
      <c r="C89" t="s">
        <v>11</v>
      </c>
      <c r="D89" t="s">
        <v>19</v>
      </c>
      <c r="E89">
        <v>16146</v>
      </c>
      <c r="F89">
        <v>830</v>
      </c>
      <c r="G89">
        <v>734.14</v>
      </c>
      <c r="H89">
        <v>58</v>
      </c>
      <c r="I89">
        <v>2271.63</v>
      </c>
      <c r="J89">
        <v>6.9900000000000004E-2</v>
      </c>
      <c r="K89" s="6">
        <f t="shared" si="1"/>
        <v>5.1405920971138368</v>
      </c>
    </row>
    <row r="90" spans="1:11" x14ac:dyDescent="0.25">
      <c r="A90" s="1">
        <v>45573</v>
      </c>
      <c r="B90" t="s">
        <v>16</v>
      </c>
      <c r="C90" t="s">
        <v>13</v>
      </c>
      <c r="D90" t="s">
        <v>18</v>
      </c>
      <c r="E90">
        <v>38382</v>
      </c>
      <c r="F90">
        <v>1416</v>
      </c>
      <c r="G90">
        <v>2068.2199999999998</v>
      </c>
      <c r="H90">
        <v>73</v>
      </c>
      <c r="I90">
        <v>9772.66</v>
      </c>
      <c r="J90">
        <v>5.16E-2</v>
      </c>
      <c r="K90" s="6">
        <f t="shared" si="1"/>
        <v>3.6892293262466782</v>
      </c>
    </row>
    <row r="91" spans="1:11" x14ac:dyDescent="0.25">
      <c r="A91" s="1">
        <v>45573</v>
      </c>
      <c r="B91" t="s">
        <v>16</v>
      </c>
      <c r="C91" t="s">
        <v>15</v>
      </c>
      <c r="D91" t="s">
        <v>18</v>
      </c>
      <c r="E91">
        <v>7720</v>
      </c>
      <c r="F91">
        <v>174</v>
      </c>
      <c r="G91">
        <v>92.5</v>
      </c>
      <c r="H91">
        <v>20</v>
      </c>
      <c r="I91">
        <v>391.96</v>
      </c>
      <c r="J91">
        <v>0.1149</v>
      </c>
      <c r="K91" s="6">
        <f t="shared" si="1"/>
        <v>2.2538860103626943</v>
      </c>
    </row>
    <row r="92" spans="1:11" x14ac:dyDescent="0.25">
      <c r="A92" s="1">
        <v>45573</v>
      </c>
      <c r="B92" t="s">
        <v>20</v>
      </c>
      <c r="C92" t="s">
        <v>11</v>
      </c>
      <c r="D92" t="s">
        <v>21</v>
      </c>
      <c r="E92">
        <v>20182</v>
      </c>
      <c r="F92">
        <v>864</v>
      </c>
      <c r="G92">
        <v>316.41000000000003</v>
      </c>
      <c r="H92">
        <v>36</v>
      </c>
      <c r="I92">
        <v>491.76</v>
      </c>
      <c r="J92">
        <v>4.1700000000000001E-2</v>
      </c>
      <c r="K92" s="6">
        <f t="shared" si="1"/>
        <v>4.2810425131305125</v>
      </c>
    </row>
    <row r="93" spans="1:11" x14ac:dyDescent="0.25">
      <c r="A93" s="1">
        <v>45573</v>
      </c>
      <c r="B93" t="s">
        <v>20</v>
      </c>
      <c r="C93" t="s">
        <v>13</v>
      </c>
      <c r="D93" t="s">
        <v>22</v>
      </c>
      <c r="E93">
        <v>65241</v>
      </c>
      <c r="F93">
        <v>2939</v>
      </c>
      <c r="G93">
        <v>1469.86</v>
      </c>
      <c r="H93">
        <v>79</v>
      </c>
      <c r="I93">
        <v>4547.49</v>
      </c>
      <c r="J93">
        <v>2.69E-2</v>
      </c>
      <c r="K93" s="6">
        <f t="shared" si="1"/>
        <v>4.5048359160650513</v>
      </c>
    </row>
    <row r="94" spans="1:11" x14ac:dyDescent="0.25">
      <c r="A94" s="1">
        <v>45573</v>
      </c>
      <c r="B94" t="s">
        <v>20</v>
      </c>
      <c r="C94" t="s">
        <v>15</v>
      </c>
      <c r="D94" t="s">
        <v>23</v>
      </c>
      <c r="E94">
        <v>6168</v>
      </c>
      <c r="F94">
        <v>230</v>
      </c>
      <c r="G94">
        <v>145.69999999999999</v>
      </c>
      <c r="H94">
        <v>16</v>
      </c>
      <c r="I94">
        <v>717.56</v>
      </c>
      <c r="J94">
        <v>6.9599999999999995E-2</v>
      </c>
      <c r="K94" s="6">
        <f t="shared" si="1"/>
        <v>3.7289234760051881</v>
      </c>
    </row>
    <row r="95" spans="1:11" x14ac:dyDescent="0.25">
      <c r="A95" s="1">
        <v>45573</v>
      </c>
      <c r="B95" t="s">
        <v>24</v>
      </c>
      <c r="C95" t="s">
        <v>11</v>
      </c>
      <c r="D95" t="s">
        <v>26</v>
      </c>
      <c r="E95">
        <v>24967</v>
      </c>
      <c r="F95">
        <v>864</v>
      </c>
      <c r="G95">
        <v>473.57</v>
      </c>
      <c r="H95">
        <v>22</v>
      </c>
      <c r="I95">
        <v>2227.25</v>
      </c>
      <c r="J95">
        <v>2.5499999999999998E-2</v>
      </c>
      <c r="K95" s="6">
        <f t="shared" si="1"/>
        <v>3.4605679496935959</v>
      </c>
    </row>
    <row r="96" spans="1:11" x14ac:dyDescent="0.25">
      <c r="A96" s="1">
        <v>45573</v>
      </c>
      <c r="B96" t="s">
        <v>24</v>
      </c>
      <c r="C96" t="s">
        <v>13</v>
      </c>
      <c r="D96" t="s">
        <v>26</v>
      </c>
      <c r="E96">
        <v>39575</v>
      </c>
      <c r="F96">
        <v>1565</v>
      </c>
      <c r="G96">
        <v>4090.7</v>
      </c>
      <c r="H96">
        <v>146</v>
      </c>
      <c r="I96">
        <v>10192.09</v>
      </c>
      <c r="J96">
        <v>9.3299999999999994E-2</v>
      </c>
      <c r="K96" s="6">
        <f t="shared" si="1"/>
        <v>3.954516740366393</v>
      </c>
    </row>
    <row r="97" spans="1:11" x14ac:dyDescent="0.25">
      <c r="A97" s="1">
        <v>45573</v>
      </c>
      <c r="B97" t="s">
        <v>24</v>
      </c>
      <c r="C97" t="s">
        <v>15</v>
      </c>
      <c r="D97" t="s">
        <v>25</v>
      </c>
      <c r="E97">
        <v>2021</v>
      </c>
      <c r="F97">
        <v>122</v>
      </c>
      <c r="G97">
        <v>304.12</v>
      </c>
      <c r="H97">
        <v>19</v>
      </c>
      <c r="I97">
        <v>1035.1400000000001</v>
      </c>
      <c r="J97">
        <v>0.15570000000000001</v>
      </c>
      <c r="K97" s="6">
        <f t="shared" si="1"/>
        <v>6.0366155368629393</v>
      </c>
    </row>
    <row r="98" spans="1:11" x14ac:dyDescent="0.25">
      <c r="A98" s="1">
        <v>45574</v>
      </c>
      <c r="B98" t="s">
        <v>10</v>
      </c>
      <c r="C98" t="s">
        <v>11</v>
      </c>
      <c r="D98" t="s">
        <v>12</v>
      </c>
      <c r="E98">
        <v>14869</v>
      </c>
      <c r="F98">
        <v>757</v>
      </c>
      <c r="G98">
        <v>946.3</v>
      </c>
      <c r="H98">
        <v>32</v>
      </c>
      <c r="I98">
        <v>2330.9899999999998</v>
      </c>
      <c r="J98">
        <v>4.2299999999999997E-2</v>
      </c>
      <c r="K98" s="6">
        <f t="shared" si="1"/>
        <v>5.0911291949693993</v>
      </c>
    </row>
    <row r="99" spans="1:11" x14ac:dyDescent="0.25">
      <c r="A99" s="1">
        <v>45574</v>
      </c>
      <c r="B99" t="s">
        <v>10</v>
      </c>
      <c r="C99" t="s">
        <v>13</v>
      </c>
      <c r="D99" t="s">
        <v>12</v>
      </c>
      <c r="E99">
        <v>64841</v>
      </c>
      <c r="F99">
        <v>2910</v>
      </c>
      <c r="G99">
        <v>2287.11</v>
      </c>
      <c r="H99">
        <v>88</v>
      </c>
      <c r="I99">
        <v>11268.46</v>
      </c>
      <c r="J99">
        <v>3.0200000000000001E-2</v>
      </c>
      <c r="K99" s="6">
        <f t="shared" si="1"/>
        <v>4.4879011736401351</v>
      </c>
    </row>
    <row r="100" spans="1:11" x14ac:dyDescent="0.25">
      <c r="A100" s="1">
        <v>45574</v>
      </c>
      <c r="B100" t="s">
        <v>10</v>
      </c>
      <c r="C100" t="s">
        <v>15</v>
      </c>
      <c r="D100" t="s">
        <v>27</v>
      </c>
      <c r="E100">
        <v>6684</v>
      </c>
      <c r="F100">
        <v>148</v>
      </c>
      <c r="G100">
        <v>131.75</v>
      </c>
      <c r="H100">
        <v>14</v>
      </c>
      <c r="I100">
        <v>179.95</v>
      </c>
      <c r="J100">
        <v>9.4600000000000004E-2</v>
      </c>
      <c r="K100" s="6">
        <f t="shared" si="1"/>
        <v>2.2142429682824658</v>
      </c>
    </row>
    <row r="101" spans="1:11" x14ac:dyDescent="0.25">
      <c r="A101" s="1">
        <v>45574</v>
      </c>
      <c r="B101" t="s">
        <v>16</v>
      </c>
      <c r="C101" t="s">
        <v>11</v>
      </c>
      <c r="D101" t="s">
        <v>18</v>
      </c>
      <c r="E101">
        <v>22492</v>
      </c>
      <c r="F101">
        <v>695</v>
      </c>
      <c r="G101">
        <v>1486.1</v>
      </c>
      <c r="H101">
        <v>60</v>
      </c>
      <c r="I101">
        <v>6418.23</v>
      </c>
      <c r="J101">
        <v>8.6300000000000002E-2</v>
      </c>
      <c r="K101" s="6">
        <f t="shared" si="1"/>
        <v>3.0899875511292905</v>
      </c>
    </row>
    <row r="102" spans="1:11" x14ac:dyDescent="0.25">
      <c r="A102" s="1">
        <v>45574</v>
      </c>
      <c r="B102" t="s">
        <v>16</v>
      </c>
      <c r="C102" t="s">
        <v>13</v>
      </c>
      <c r="D102" t="s">
        <v>17</v>
      </c>
      <c r="E102">
        <v>67461</v>
      </c>
      <c r="F102">
        <v>2975</v>
      </c>
      <c r="G102">
        <v>1148.08</v>
      </c>
      <c r="H102">
        <v>168</v>
      </c>
      <c r="I102">
        <v>5589.25</v>
      </c>
      <c r="J102">
        <v>5.6500000000000002E-2</v>
      </c>
      <c r="K102" s="6">
        <f t="shared" si="1"/>
        <v>4.4099553816279036</v>
      </c>
    </row>
    <row r="103" spans="1:11" x14ac:dyDescent="0.25">
      <c r="A103" s="1">
        <v>45574</v>
      </c>
      <c r="B103" t="s">
        <v>16</v>
      </c>
      <c r="C103" t="s">
        <v>15</v>
      </c>
      <c r="D103" t="s">
        <v>28</v>
      </c>
      <c r="E103">
        <v>2822</v>
      </c>
      <c r="F103">
        <v>162</v>
      </c>
      <c r="G103">
        <v>84.9</v>
      </c>
      <c r="H103">
        <v>15</v>
      </c>
      <c r="I103">
        <v>106.83</v>
      </c>
      <c r="J103">
        <v>9.2600000000000002E-2</v>
      </c>
      <c r="K103" s="6">
        <f t="shared" si="1"/>
        <v>5.7406094968107721</v>
      </c>
    </row>
    <row r="104" spans="1:11" x14ac:dyDescent="0.25">
      <c r="A104" s="1">
        <v>45574</v>
      </c>
      <c r="B104" t="s">
        <v>20</v>
      </c>
      <c r="C104" t="s">
        <v>11</v>
      </c>
      <c r="D104" t="s">
        <v>21</v>
      </c>
      <c r="E104">
        <v>23434</v>
      </c>
      <c r="F104">
        <v>458</v>
      </c>
      <c r="G104">
        <v>389.79</v>
      </c>
      <c r="H104">
        <v>60</v>
      </c>
      <c r="I104">
        <v>1903.33</v>
      </c>
      <c r="J104">
        <v>0.13100000000000001</v>
      </c>
      <c r="K104" s="6">
        <f t="shared" si="1"/>
        <v>1.9544251941623281</v>
      </c>
    </row>
    <row r="105" spans="1:11" x14ac:dyDescent="0.25">
      <c r="A105" s="1">
        <v>45574</v>
      </c>
      <c r="B105" t="s">
        <v>20</v>
      </c>
      <c r="C105" t="s">
        <v>13</v>
      </c>
      <c r="D105" t="s">
        <v>23</v>
      </c>
      <c r="E105">
        <v>61049</v>
      </c>
      <c r="F105">
        <v>2330</v>
      </c>
      <c r="G105">
        <v>1321.26</v>
      </c>
      <c r="H105">
        <v>124</v>
      </c>
      <c r="I105">
        <v>5864.94</v>
      </c>
      <c r="J105">
        <v>5.3199999999999997E-2</v>
      </c>
      <c r="K105" s="6">
        <f t="shared" si="1"/>
        <v>3.8166063326180613</v>
      </c>
    </row>
    <row r="106" spans="1:11" x14ac:dyDescent="0.25">
      <c r="A106" s="1">
        <v>45574</v>
      </c>
      <c r="B106" t="s">
        <v>20</v>
      </c>
      <c r="C106" t="s">
        <v>15</v>
      </c>
      <c r="D106" t="s">
        <v>27</v>
      </c>
      <c r="E106">
        <v>4594</v>
      </c>
      <c r="F106">
        <v>210</v>
      </c>
      <c r="G106">
        <v>301.55</v>
      </c>
      <c r="H106">
        <v>16</v>
      </c>
      <c r="I106">
        <v>1361.51</v>
      </c>
      <c r="J106">
        <v>7.6200000000000004E-2</v>
      </c>
      <c r="K106" s="6">
        <f t="shared" si="1"/>
        <v>4.5711797997387897</v>
      </c>
    </row>
    <row r="107" spans="1:11" x14ac:dyDescent="0.25">
      <c r="A107" s="1">
        <v>45574</v>
      </c>
      <c r="B107" t="s">
        <v>24</v>
      </c>
      <c r="C107" t="s">
        <v>11</v>
      </c>
      <c r="D107" t="s">
        <v>29</v>
      </c>
      <c r="E107">
        <v>12242</v>
      </c>
      <c r="F107">
        <v>540</v>
      </c>
      <c r="G107">
        <v>1057.3900000000001</v>
      </c>
      <c r="H107">
        <v>28</v>
      </c>
      <c r="I107">
        <v>5276.61</v>
      </c>
      <c r="J107">
        <v>5.1900000000000002E-2</v>
      </c>
      <c r="K107" s="6">
        <f t="shared" si="1"/>
        <v>4.4110439470674727</v>
      </c>
    </row>
    <row r="108" spans="1:11" x14ac:dyDescent="0.25">
      <c r="A108" s="1">
        <v>45574</v>
      </c>
      <c r="B108" t="s">
        <v>24</v>
      </c>
      <c r="C108" t="s">
        <v>13</v>
      </c>
      <c r="D108" t="s">
        <v>29</v>
      </c>
      <c r="E108">
        <v>63440</v>
      </c>
      <c r="F108">
        <v>1201</v>
      </c>
      <c r="G108">
        <v>4041.48</v>
      </c>
      <c r="H108">
        <v>220</v>
      </c>
      <c r="I108">
        <v>18250.52</v>
      </c>
      <c r="J108">
        <v>0.1832</v>
      </c>
      <c r="K108" s="6">
        <f t="shared" si="1"/>
        <v>1.8931273644388398</v>
      </c>
    </row>
    <row r="109" spans="1:11" x14ac:dyDescent="0.25">
      <c r="A109" s="1">
        <v>45574</v>
      </c>
      <c r="B109" t="s">
        <v>24</v>
      </c>
      <c r="C109" t="s">
        <v>15</v>
      </c>
      <c r="D109" t="s">
        <v>30</v>
      </c>
      <c r="E109">
        <v>3362</v>
      </c>
      <c r="F109">
        <v>227</v>
      </c>
      <c r="G109">
        <v>154.81</v>
      </c>
      <c r="H109">
        <v>1</v>
      </c>
      <c r="I109">
        <v>212.83</v>
      </c>
      <c r="J109">
        <v>4.4000000000000003E-3</v>
      </c>
      <c r="K109" s="6">
        <f t="shared" si="1"/>
        <v>6.7519333729922666</v>
      </c>
    </row>
    <row r="110" spans="1:11" x14ac:dyDescent="0.25">
      <c r="A110" s="1">
        <v>45575</v>
      </c>
      <c r="B110" t="s">
        <v>10</v>
      </c>
      <c r="C110" t="s">
        <v>11</v>
      </c>
      <c r="D110" t="s">
        <v>14</v>
      </c>
      <c r="E110">
        <v>19613</v>
      </c>
      <c r="F110">
        <v>667</v>
      </c>
      <c r="G110">
        <v>749.81</v>
      </c>
      <c r="H110">
        <v>19</v>
      </c>
      <c r="I110">
        <v>1595.56</v>
      </c>
      <c r="J110">
        <v>2.8500000000000001E-2</v>
      </c>
      <c r="K110" s="6">
        <f t="shared" si="1"/>
        <v>3.4008055881303219</v>
      </c>
    </row>
    <row r="111" spans="1:11" x14ac:dyDescent="0.25">
      <c r="A111" s="1">
        <v>45575</v>
      </c>
      <c r="B111" t="s">
        <v>10</v>
      </c>
      <c r="C111" t="s">
        <v>13</v>
      </c>
      <c r="D111" t="s">
        <v>12</v>
      </c>
      <c r="E111">
        <v>46800</v>
      </c>
      <c r="F111">
        <v>1348</v>
      </c>
      <c r="G111">
        <v>1700.28</v>
      </c>
      <c r="H111">
        <v>196</v>
      </c>
      <c r="I111">
        <v>7666.89</v>
      </c>
      <c r="J111">
        <v>0.1454</v>
      </c>
      <c r="K111" s="6">
        <f t="shared" si="1"/>
        <v>2.8803418803418803</v>
      </c>
    </row>
    <row r="112" spans="1:11" x14ac:dyDescent="0.25">
      <c r="A112" s="1">
        <v>45575</v>
      </c>
      <c r="B112" t="s">
        <v>10</v>
      </c>
      <c r="C112" t="s">
        <v>15</v>
      </c>
      <c r="D112" t="s">
        <v>27</v>
      </c>
      <c r="E112">
        <v>6076</v>
      </c>
      <c r="F112">
        <v>199</v>
      </c>
      <c r="G112">
        <v>100.09</v>
      </c>
      <c r="H112">
        <v>15</v>
      </c>
      <c r="I112">
        <v>362.73</v>
      </c>
      <c r="J112">
        <v>7.5399999999999995E-2</v>
      </c>
      <c r="K112" s="6">
        <f t="shared" si="1"/>
        <v>3.2751810401579986</v>
      </c>
    </row>
    <row r="113" spans="1:11" x14ac:dyDescent="0.25">
      <c r="A113" s="1">
        <v>45575</v>
      </c>
      <c r="B113" t="s">
        <v>16</v>
      </c>
      <c r="C113" t="s">
        <v>11</v>
      </c>
      <c r="D113" t="s">
        <v>18</v>
      </c>
      <c r="E113">
        <v>18366</v>
      </c>
      <c r="F113">
        <v>309</v>
      </c>
      <c r="G113">
        <v>1378.69</v>
      </c>
      <c r="H113">
        <v>39</v>
      </c>
      <c r="I113">
        <v>6375.88</v>
      </c>
      <c r="J113">
        <v>0.12620000000000001</v>
      </c>
      <c r="K113" s="6">
        <f t="shared" si="1"/>
        <v>1.6824567134923227</v>
      </c>
    </row>
    <row r="114" spans="1:11" x14ac:dyDescent="0.25">
      <c r="A114" s="1">
        <v>45575</v>
      </c>
      <c r="B114" t="s">
        <v>16</v>
      </c>
      <c r="C114" t="s">
        <v>13</v>
      </c>
      <c r="D114" t="s">
        <v>17</v>
      </c>
      <c r="E114">
        <v>39840</v>
      </c>
      <c r="F114">
        <v>1904</v>
      </c>
      <c r="G114">
        <v>4780.9399999999996</v>
      </c>
      <c r="H114">
        <v>190</v>
      </c>
      <c r="I114">
        <v>11172.03</v>
      </c>
      <c r="J114">
        <v>9.98E-2</v>
      </c>
      <c r="K114" s="6">
        <f t="shared" si="1"/>
        <v>4.7791164658634537</v>
      </c>
    </row>
    <row r="115" spans="1:11" x14ac:dyDescent="0.25">
      <c r="A115" s="1">
        <v>45575</v>
      </c>
      <c r="B115" t="s">
        <v>16</v>
      </c>
      <c r="C115" t="s">
        <v>15</v>
      </c>
      <c r="D115" t="s">
        <v>18</v>
      </c>
      <c r="E115">
        <v>7655</v>
      </c>
      <c r="F115">
        <v>114</v>
      </c>
      <c r="G115">
        <v>209.89</v>
      </c>
      <c r="H115">
        <v>10</v>
      </c>
      <c r="I115">
        <v>410.76</v>
      </c>
      <c r="J115">
        <v>8.77E-2</v>
      </c>
      <c r="K115" s="6">
        <f t="shared" si="1"/>
        <v>1.4892227302416721</v>
      </c>
    </row>
    <row r="116" spans="1:11" x14ac:dyDescent="0.25">
      <c r="A116" s="1">
        <v>45575</v>
      </c>
      <c r="B116" t="s">
        <v>20</v>
      </c>
      <c r="C116" t="s">
        <v>11</v>
      </c>
      <c r="D116" t="s">
        <v>27</v>
      </c>
      <c r="E116">
        <v>25833</v>
      </c>
      <c r="F116">
        <v>409</v>
      </c>
      <c r="G116">
        <v>584.65</v>
      </c>
      <c r="H116">
        <v>46</v>
      </c>
      <c r="I116">
        <v>1499.07</v>
      </c>
      <c r="J116">
        <v>0.1125</v>
      </c>
      <c r="K116" s="6">
        <f t="shared" si="1"/>
        <v>1.5832462354352959</v>
      </c>
    </row>
    <row r="117" spans="1:11" x14ac:dyDescent="0.25">
      <c r="A117" s="1">
        <v>45575</v>
      </c>
      <c r="B117" t="s">
        <v>20</v>
      </c>
      <c r="C117" t="s">
        <v>13</v>
      </c>
      <c r="D117" t="s">
        <v>23</v>
      </c>
      <c r="E117">
        <v>54348</v>
      </c>
      <c r="F117">
        <v>1044</v>
      </c>
      <c r="G117">
        <v>4911.78</v>
      </c>
      <c r="H117">
        <v>208</v>
      </c>
      <c r="I117">
        <v>13281.76</v>
      </c>
      <c r="J117">
        <v>0.19919999999999999</v>
      </c>
      <c r="K117" s="6">
        <f t="shared" si="1"/>
        <v>1.9209538529476706</v>
      </c>
    </row>
    <row r="118" spans="1:11" x14ac:dyDescent="0.25">
      <c r="A118" s="1">
        <v>45575</v>
      </c>
      <c r="B118" t="s">
        <v>20</v>
      </c>
      <c r="C118" t="s">
        <v>15</v>
      </c>
      <c r="D118" t="s">
        <v>22</v>
      </c>
      <c r="E118">
        <v>6636</v>
      </c>
      <c r="F118">
        <v>225</v>
      </c>
      <c r="G118">
        <v>322.41000000000003</v>
      </c>
      <c r="H118">
        <v>2</v>
      </c>
      <c r="I118">
        <v>1502.54</v>
      </c>
      <c r="J118">
        <v>8.8999999999999999E-3</v>
      </c>
      <c r="K118" s="6">
        <f t="shared" si="1"/>
        <v>3.3905967450271248</v>
      </c>
    </row>
    <row r="119" spans="1:11" x14ac:dyDescent="0.25">
      <c r="A119" s="1">
        <v>45575</v>
      </c>
      <c r="B119" t="s">
        <v>24</v>
      </c>
      <c r="C119" t="s">
        <v>11</v>
      </c>
      <c r="D119" t="s">
        <v>30</v>
      </c>
      <c r="E119">
        <v>19378</v>
      </c>
      <c r="F119">
        <v>535</v>
      </c>
      <c r="G119">
        <v>1028.48</v>
      </c>
      <c r="H119">
        <v>32</v>
      </c>
      <c r="I119">
        <v>2090.09</v>
      </c>
      <c r="J119">
        <v>5.9799999999999999E-2</v>
      </c>
      <c r="K119" s="6">
        <f t="shared" si="1"/>
        <v>2.7608628341418102</v>
      </c>
    </row>
    <row r="120" spans="1:11" x14ac:dyDescent="0.25">
      <c r="A120" s="1">
        <v>45575</v>
      </c>
      <c r="B120" t="s">
        <v>24</v>
      </c>
      <c r="C120" t="s">
        <v>13</v>
      </c>
      <c r="D120" t="s">
        <v>26</v>
      </c>
      <c r="E120">
        <v>51425</v>
      </c>
      <c r="F120">
        <v>2388</v>
      </c>
      <c r="G120">
        <v>4022.31</v>
      </c>
      <c r="H120">
        <v>236</v>
      </c>
      <c r="I120">
        <v>14902.22</v>
      </c>
      <c r="J120">
        <v>9.8799999999999999E-2</v>
      </c>
      <c r="K120" s="6">
        <f t="shared" si="1"/>
        <v>4.6436558094312099</v>
      </c>
    </row>
    <row r="121" spans="1:11" x14ac:dyDescent="0.25">
      <c r="A121" s="1">
        <v>45575</v>
      </c>
      <c r="B121" t="s">
        <v>24</v>
      </c>
      <c r="C121" t="s">
        <v>15</v>
      </c>
      <c r="D121" t="s">
        <v>26</v>
      </c>
      <c r="E121">
        <v>7146</v>
      </c>
      <c r="F121">
        <v>74</v>
      </c>
      <c r="G121">
        <v>366.19</v>
      </c>
      <c r="H121">
        <v>2</v>
      </c>
      <c r="I121">
        <v>869.31</v>
      </c>
      <c r="J121">
        <v>2.7E-2</v>
      </c>
      <c r="K121" s="6">
        <f t="shared" si="1"/>
        <v>1.0355443604813881</v>
      </c>
    </row>
    <row r="122" spans="1:11" x14ac:dyDescent="0.25">
      <c r="A122" s="1">
        <v>45576</v>
      </c>
      <c r="B122" t="s">
        <v>10</v>
      </c>
      <c r="C122" t="s">
        <v>11</v>
      </c>
      <c r="D122" t="s">
        <v>12</v>
      </c>
      <c r="E122">
        <v>11093</v>
      </c>
      <c r="F122">
        <v>893</v>
      </c>
      <c r="G122">
        <v>737.83</v>
      </c>
      <c r="H122">
        <v>18</v>
      </c>
      <c r="I122">
        <v>1138.1099999999999</v>
      </c>
      <c r="J122">
        <v>2.0199999999999999E-2</v>
      </c>
      <c r="K122" s="6">
        <f t="shared" si="1"/>
        <v>8.0501216983683399</v>
      </c>
    </row>
    <row r="123" spans="1:11" x14ac:dyDescent="0.25">
      <c r="A123" s="1">
        <v>45576</v>
      </c>
      <c r="B123" t="s">
        <v>10</v>
      </c>
      <c r="C123" t="s">
        <v>13</v>
      </c>
      <c r="D123" t="s">
        <v>17</v>
      </c>
      <c r="E123">
        <v>56411</v>
      </c>
      <c r="F123">
        <v>2530</v>
      </c>
      <c r="G123">
        <v>2662.01</v>
      </c>
      <c r="H123">
        <v>91</v>
      </c>
      <c r="I123">
        <v>4531.29</v>
      </c>
      <c r="J123">
        <v>3.5999999999999997E-2</v>
      </c>
      <c r="K123" s="6">
        <f t="shared" si="1"/>
        <v>4.4849408803247597</v>
      </c>
    </row>
    <row r="124" spans="1:11" x14ac:dyDescent="0.25">
      <c r="A124" s="1">
        <v>45576</v>
      </c>
      <c r="B124" t="s">
        <v>10</v>
      </c>
      <c r="C124" t="s">
        <v>15</v>
      </c>
      <c r="D124" t="s">
        <v>17</v>
      </c>
      <c r="E124">
        <v>6348</v>
      </c>
      <c r="F124">
        <v>178</v>
      </c>
      <c r="G124">
        <v>369.72</v>
      </c>
      <c r="H124">
        <v>6</v>
      </c>
      <c r="I124">
        <v>804.69</v>
      </c>
      <c r="J124">
        <v>3.3700000000000001E-2</v>
      </c>
      <c r="K124" s="6">
        <f t="shared" si="1"/>
        <v>2.8040327662255828</v>
      </c>
    </row>
    <row r="125" spans="1:11" x14ac:dyDescent="0.25">
      <c r="A125" s="1">
        <v>45576</v>
      </c>
      <c r="B125" t="s">
        <v>16</v>
      </c>
      <c r="C125" t="s">
        <v>11</v>
      </c>
      <c r="D125" t="s">
        <v>18</v>
      </c>
      <c r="E125">
        <v>19671</v>
      </c>
      <c r="F125">
        <v>646</v>
      </c>
      <c r="G125">
        <v>1265.08</v>
      </c>
      <c r="H125">
        <v>39</v>
      </c>
      <c r="I125">
        <v>6147.02</v>
      </c>
      <c r="J125">
        <v>6.0400000000000002E-2</v>
      </c>
      <c r="K125" s="6">
        <f t="shared" si="1"/>
        <v>3.2840221646077987</v>
      </c>
    </row>
    <row r="126" spans="1:11" x14ac:dyDescent="0.25">
      <c r="A126" s="1">
        <v>45576</v>
      </c>
      <c r="B126" t="s">
        <v>16</v>
      </c>
      <c r="C126" t="s">
        <v>13</v>
      </c>
      <c r="D126" t="s">
        <v>17</v>
      </c>
      <c r="E126">
        <v>49785</v>
      </c>
      <c r="F126">
        <v>2761</v>
      </c>
      <c r="G126">
        <v>3705.29</v>
      </c>
      <c r="H126">
        <v>212</v>
      </c>
      <c r="I126">
        <v>18244.03</v>
      </c>
      <c r="J126">
        <v>7.6799999999999993E-2</v>
      </c>
      <c r="K126" s="6">
        <f t="shared" si="1"/>
        <v>5.5458471427136686</v>
      </c>
    </row>
    <row r="127" spans="1:11" x14ac:dyDescent="0.25">
      <c r="A127" s="1">
        <v>45576</v>
      </c>
      <c r="B127" t="s">
        <v>16</v>
      </c>
      <c r="C127" t="s">
        <v>15</v>
      </c>
      <c r="D127" t="s">
        <v>28</v>
      </c>
      <c r="E127">
        <v>2739</v>
      </c>
      <c r="F127">
        <v>151</v>
      </c>
      <c r="G127">
        <v>54.87</v>
      </c>
      <c r="H127">
        <v>18</v>
      </c>
      <c r="I127">
        <v>91.61</v>
      </c>
      <c r="J127">
        <v>0.1192</v>
      </c>
      <c r="K127" s="6">
        <f t="shared" si="1"/>
        <v>5.5129609346476816</v>
      </c>
    </row>
    <row r="128" spans="1:11" x14ac:dyDescent="0.25">
      <c r="A128" s="1">
        <v>45576</v>
      </c>
      <c r="B128" t="s">
        <v>20</v>
      </c>
      <c r="C128" t="s">
        <v>11</v>
      </c>
      <c r="D128" t="s">
        <v>23</v>
      </c>
      <c r="E128">
        <v>18590</v>
      </c>
      <c r="F128">
        <v>898</v>
      </c>
      <c r="G128">
        <v>757.23</v>
      </c>
      <c r="H128">
        <v>50</v>
      </c>
      <c r="I128">
        <v>3614.34</v>
      </c>
      <c r="J128">
        <v>5.57E-2</v>
      </c>
      <c r="K128" s="6">
        <f t="shared" si="1"/>
        <v>4.8305540613232925</v>
      </c>
    </row>
    <row r="129" spans="1:11" x14ac:dyDescent="0.25">
      <c r="A129" s="1">
        <v>45576</v>
      </c>
      <c r="B129" t="s">
        <v>20</v>
      </c>
      <c r="C129" t="s">
        <v>13</v>
      </c>
      <c r="D129" t="s">
        <v>22</v>
      </c>
      <c r="E129">
        <v>50323</v>
      </c>
      <c r="F129">
        <v>1965</v>
      </c>
      <c r="G129">
        <v>1100.0999999999999</v>
      </c>
      <c r="H129">
        <v>183</v>
      </c>
      <c r="I129">
        <v>2691.31</v>
      </c>
      <c r="J129">
        <v>9.3100000000000002E-2</v>
      </c>
      <c r="K129" s="6">
        <f t="shared" si="1"/>
        <v>3.9047751525147549</v>
      </c>
    </row>
    <row r="130" spans="1:11" x14ac:dyDescent="0.25">
      <c r="A130" s="1">
        <v>45576</v>
      </c>
      <c r="B130" t="s">
        <v>20</v>
      </c>
      <c r="C130" t="s">
        <v>15</v>
      </c>
      <c r="D130" t="s">
        <v>21</v>
      </c>
      <c r="E130">
        <v>7305</v>
      </c>
      <c r="F130">
        <v>66</v>
      </c>
      <c r="G130">
        <v>272.39</v>
      </c>
      <c r="H130">
        <v>15</v>
      </c>
      <c r="I130">
        <v>1268.1600000000001</v>
      </c>
      <c r="J130">
        <v>0.2273</v>
      </c>
      <c r="K130" s="6">
        <f t="shared" si="1"/>
        <v>0.90349075975359339</v>
      </c>
    </row>
    <row r="131" spans="1:11" x14ac:dyDescent="0.25">
      <c r="A131" s="1">
        <v>45576</v>
      </c>
      <c r="B131" t="s">
        <v>24</v>
      </c>
      <c r="C131" t="s">
        <v>11</v>
      </c>
      <c r="D131" t="s">
        <v>25</v>
      </c>
      <c r="E131">
        <v>23379</v>
      </c>
      <c r="F131">
        <v>419</v>
      </c>
      <c r="G131">
        <v>467.73</v>
      </c>
      <c r="H131">
        <v>12</v>
      </c>
      <c r="I131">
        <v>1102.25</v>
      </c>
      <c r="J131">
        <v>2.86E-2</v>
      </c>
      <c r="K131" s="6">
        <f t="shared" ref="K131:K194" si="2">(F131/E131) *100</f>
        <v>1.7922066812096324</v>
      </c>
    </row>
    <row r="132" spans="1:11" x14ac:dyDescent="0.25">
      <c r="A132" s="1">
        <v>45576</v>
      </c>
      <c r="B132" t="s">
        <v>24</v>
      </c>
      <c r="C132" t="s">
        <v>13</v>
      </c>
      <c r="D132" t="s">
        <v>30</v>
      </c>
      <c r="E132">
        <v>42610</v>
      </c>
      <c r="F132">
        <v>1199</v>
      </c>
      <c r="G132">
        <v>1939.2</v>
      </c>
      <c r="H132">
        <v>177</v>
      </c>
      <c r="I132">
        <v>3326.74</v>
      </c>
      <c r="J132">
        <v>0.14760000000000001</v>
      </c>
      <c r="K132" s="6">
        <f t="shared" si="2"/>
        <v>2.813893452241258</v>
      </c>
    </row>
    <row r="133" spans="1:11" x14ac:dyDescent="0.25">
      <c r="A133" s="1">
        <v>45576</v>
      </c>
      <c r="B133" t="s">
        <v>24</v>
      </c>
      <c r="C133" t="s">
        <v>15</v>
      </c>
      <c r="D133" t="s">
        <v>30</v>
      </c>
      <c r="E133">
        <v>5039</v>
      </c>
      <c r="F133">
        <v>221</v>
      </c>
      <c r="G133">
        <v>382.28</v>
      </c>
      <c r="H133">
        <v>18</v>
      </c>
      <c r="I133">
        <v>1067.5899999999999</v>
      </c>
      <c r="J133">
        <v>8.14E-2</v>
      </c>
      <c r="K133" s="6">
        <f t="shared" si="2"/>
        <v>4.3857908315141891</v>
      </c>
    </row>
    <row r="134" spans="1:11" x14ac:dyDescent="0.25">
      <c r="A134" s="1">
        <v>45577</v>
      </c>
      <c r="B134" t="s">
        <v>10</v>
      </c>
      <c r="C134" t="s">
        <v>11</v>
      </c>
      <c r="D134" t="s">
        <v>27</v>
      </c>
      <c r="E134">
        <v>23594</v>
      </c>
      <c r="F134">
        <v>401</v>
      </c>
      <c r="G134">
        <v>1300.43</v>
      </c>
      <c r="H134">
        <v>49</v>
      </c>
      <c r="I134">
        <v>3577.28</v>
      </c>
      <c r="J134">
        <v>0.1222</v>
      </c>
      <c r="K134" s="6">
        <f t="shared" si="2"/>
        <v>1.6995846401627532</v>
      </c>
    </row>
    <row r="135" spans="1:11" x14ac:dyDescent="0.25">
      <c r="A135" s="1">
        <v>45577</v>
      </c>
      <c r="B135" t="s">
        <v>10</v>
      </c>
      <c r="C135" t="s">
        <v>13</v>
      </c>
      <c r="D135" t="s">
        <v>17</v>
      </c>
      <c r="E135">
        <v>37144</v>
      </c>
      <c r="F135">
        <v>2413</v>
      </c>
      <c r="G135">
        <v>2482.12</v>
      </c>
      <c r="H135">
        <v>153</v>
      </c>
      <c r="I135">
        <v>7172.94</v>
      </c>
      <c r="J135">
        <v>6.3399999999999998E-2</v>
      </c>
      <c r="K135" s="6">
        <f t="shared" si="2"/>
        <v>6.4963385741977175</v>
      </c>
    </row>
    <row r="136" spans="1:11" x14ac:dyDescent="0.25">
      <c r="A136" s="1">
        <v>45577</v>
      </c>
      <c r="B136" t="s">
        <v>10</v>
      </c>
      <c r="C136" t="s">
        <v>15</v>
      </c>
      <c r="D136" t="s">
        <v>27</v>
      </c>
      <c r="E136">
        <v>4971</v>
      </c>
      <c r="F136">
        <v>75</v>
      </c>
      <c r="G136">
        <v>393.32</v>
      </c>
      <c r="H136">
        <v>12</v>
      </c>
      <c r="I136">
        <v>1285.75</v>
      </c>
      <c r="J136">
        <v>0.16</v>
      </c>
      <c r="K136" s="6">
        <f t="shared" si="2"/>
        <v>1.5087507543753771</v>
      </c>
    </row>
    <row r="137" spans="1:11" x14ac:dyDescent="0.25">
      <c r="A137" s="1">
        <v>45577</v>
      </c>
      <c r="B137" t="s">
        <v>16</v>
      </c>
      <c r="C137" t="s">
        <v>11</v>
      </c>
      <c r="D137" t="s">
        <v>28</v>
      </c>
      <c r="E137">
        <v>11984</v>
      </c>
      <c r="F137">
        <v>707</v>
      </c>
      <c r="G137">
        <v>631.05999999999995</v>
      </c>
      <c r="H137">
        <v>17</v>
      </c>
      <c r="I137">
        <v>3033.03</v>
      </c>
      <c r="J137">
        <v>2.4E-2</v>
      </c>
      <c r="K137" s="6">
        <f t="shared" si="2"/>
        <v>5.8995327102803738</v>
      </c>
    </row>
    <row r="138" spans="1:11" x14ac:dyDescent="0.25">
      <c r="A138" s="1">
        <v>45577</v>
      </c>
      <c r="B138" t="s">
        <v>16</v>
      </c>
      <c r="C138" t="s">
        <v>13</v>
      </c>
      <c r="D138" t="s">
        <v>18</v>
      </c>
      <c r="E138">
        <v>41007</v>
      </c>
      <c r="F138">
        <v>2357</v>
      </c>
      <c r="G138">
        <v>1848.42</v>
      </c>
      <c r="H138">
        <v>203</v>
      </c>
      <c r="I138">
        <v>6412.45</v>
      </c>
      <c r="J138">
        <v>8.6099999999999996E-2</v>
      </c>
      <c r="K138" s="6">
        <f t="shared" si="2"/>
        <v>5.7477991562416175</v>
      </c>
    </row>
    <row r="139" spans="1:11" x14ac:dyDescent="0.25">
      <c r="A139" s="1">
        <v>45577</v>
      </c>
      <c r="B139" t="s">
        <v>16</v>
      </c>
      <c r="C139" t="s">
        <v>15</v>
      </c>
      <c r="D139" t="s">
        <v>19</v>
      </c>
      <c r="E139">
        <v>2414</v>
      </c>
      <c r="F139">
        <v>135</v>
      </c>
      <c r="G139">
        <v>135.25</v>
      </c>
      <c r="H139">
        <v>5</v>
      </c>
      <c r="I139">
        <v>566.77</v>
      </c>
      <c r="J139">
        <v>3.6999999999999998E-2</v>
      </c>
      <c r="K139" s="6">
        <f t="shared" si="2"/>
        <v>5.5923777961888979</v>
      </c>
    </row>
    <row r="140" spans="1:11" x14ac:dyDescent="0.25">
      <c r="A140" s="1">
        <v>45577</v>
      </c>
      <c r="B140" t="s">
        <v>20</v>
      </c>
      <c r="C140" t="s">
        <v>11</v>
      </c>
      <c r="D140" t="s">
        <v>21</v>
      </c>
      <c r="E140">
        <v>12248</v>
      </c>
      <c r="F140">
        <v>867</v>
      </c>
      <c r="G140">
        <v>548.59</v>
      </c>
      <c r="H140">
        <v>23</v>
      </c>
      <c r="I140">
        <v>2353.23</v>
      </c>
      <c r="J140">
        <v>2.6499999999999999E-2</v>
      </c>
      <c r="K140" s="6">
        <f t="shared" si="2"/>
        <v>7.0787067276290001</v>
      </c>
    </row>
    <row r="141" spans="1:11" x14ac:dyDescent="0.25">
      <c r="A141" s="1">
        <v>45577</v>
      </c>
      <c r="B141" t="s">
        <v>20</v>
      </c>
      <c r="C141" t="s">
        <v>13</v>
      </c>
      <c r="D141" t="s">
        <v>21</v>
      </c>
      <c r="E141">
        <v>56532</v>
      </c>
      <c r="F141">
        <v>2585</v>
      </c>
      <c r="G141">
        <v>1590.22</v>
      </c>
      <c r="H141">
        <v>192</v>
      </c>
      <c r="I141">
        <v>1925.4</v>
      </c>
      <c r="J141">
        <v>7.4300000000000005E-2</v>
      </c>
      <c r="K141" s="6">
        <f t="shared" si="2"/>
        <v>4.572631429986556</v>
      </c>
    </row>
    <row r="142" spans="1:11" x14ac:dyDescent="0.25">
      <c r="A142" s="1">
        <v>45577</v>
      </c>
      <c r="B142" t="s">
        <v>20</v>
      </c>
      <c r="C142" t="s">
        <v>15</v>
      </c>
      <c r="D142" t="s">
        <v>21</v>
      </c>
      <c r="E142">
        <v>3064</v>
      </c>
      <c r="F142">
        <v>188</v>
      </c>
      <c r="G142">
        <v>137.72999999999999</v>
      </c>
      <c r="H142">
        <v>6</v>
      </c>
      <c r="I142">
        <v>222.81</v>
      </c>
      <c r="J142">
        <v>3.1899999999999998E-2</v>
      </c>
      <c r="K142" s="6">
        <f t="shared" si="2"/>
        <v>6.1357702349869454</v>
      </c>
    </row>
    <row r="143" spans="1:11" x14ac:dyDescent="0.25">
      <c r="A143" s="1">
        <v>45577</v>
      </c>
      <c r="B143" t="s">
        <v>24</v>
      </c>
      <c r="C143" t="s">
        <v>11</v>
      </c>
      <c r="D143" t="s">
        <v>29</v>
      </c>
      <c r="E143">
        <v>14318</v>
      </c>
      <c r="F143">
        <v>315</v>
      </c>
      <c r="G143">
        <v>729.89</v>
      </c>
      <c r="H143">
        <v>60</v>
      </c>
      <c r="I143">
        <v>1535.79</v>
      </c>
      <c r="J143">
        <v>0.1905</v>
      </c>
      <c r="K143" s="6">
        <f t="shared" si="2"/>
        <v>2.2000279368626905</v>
      </c>
    </row>
    <row r="144" spans="1:11" x14ac:dyDescent="0.25">
      <c r="A144" s="1">
        <v>45577</v>
      </c>
      <c r="B144" t="s">
        <v>24</v>
      </c>
      <c r="C144" t="s">
        <v>13</v>
      </c>
      <c r="D144" t="s">
        <v>25</v>
      </c>
      <c r="E144">
        <v>36034</v>
      </c>
      <c r="F144">
        <v>1356</v>
      </c>
      <c r="G144">
        <v>2061.4699999999998</v>
      </c>
      <c r="H144">
        <v>72</v>
      </c>
      <c r="I144">
        <v>8284.08</v>
      </c>
      <c r="J144">
        <v>5.3100000000000001E-2</v>
      </c>
      <c r="K144" s="6">
        <f t="shared" si="2"/>
        <v>3.7631126158627968</v>
      </c>
    </row>
    <row r="145" spans="1:11" x14ac:dyDescent="0.25">
      <c r="A145" s="1">
        <v>45577</v>
      </c>
      <c r="B145" t="s">
        <v>24</v>
      </c>
      <c r="C145" t="s">
        <v>15</v>
      </c>
      <c r="D145" t="s">
        <v>29</v>
      </c>
      <c r="E145">
        <v>2520</v>
      </c>
      <c r="F145">
        <v>171</v>
      </c>
      <c r="G145">
        <v>206.9</v>
      </c>
      <c r="H145">
        <v>12</v>
      </c>
      <c r="I145">
        <v>651.79999999999995</v>
      </c>
      <c r="J145">
        <v>7.0199999999999999E-2</v>
      </c>
      <c r="K145" s="6">
        <f t="shared" si="2"/>
        <v>6.7857142857142856</v>
      </c>
    </row>
    <row r="146" spans="1:11" x14ac:dyDescent="0.25">
      <c r="A146" s="1">
        <v>45578</v>
      </c>
      <c r="B146" t="s">
        <v>10</v>
      </c>
      <c r="C146" t="s">
        <v>11</v>
      </c>
      <c r="D146" t="s">
        <v>14</v>
      </c>
      <c r="E146">
        <v>24811</v>
      </c>
      <c r="F146">
        <v>815</v>
      </c>
      <c r="G146">
        <v>565.86</v>
      </c>
      <c r="H146">
        <v>49</v>
      </c>
      <c r="I146">
        <v>772.28</v>
      </c>
      <c r="J146">
        <v>6.0100000000000001E-2</v>
      </c>
      <c r="K146" s="6">
        <f t="shared" si="2"/>
        <v>3.2848333400507843</v>
      </c>
    </row>
    <row r="147" spans="1:11" x14ac:dyDescent="0.25">
      <c r="A147" s="1">
        <v>45578</v>
      </c>
      <c r="B147" t="s">
        <v>10</v>
      </c>
      <c r="C147" t="s">
        <v>13</v>
      </c>
      <c r="D147" t="s">
        <v>17</v>
      </c>
      <c r="E147">
        <v>65018</v>
      </c>
      <c r="F147">
        <v>2317</v>
      </c>
      <c r="G147">
        <v>4856.1000000000004</v>
      </c>
      <c r="H147">
        <v>55</v>
      </c>
      <c r="I147">
        <v>24254.42</v>
      </c>
      <c r="J147">
        <v>2.3699999999999999E-2</v>
      </c>
      <c r="K147" s="6">
        <f t="shared" si="2"/>
        <v>3.5636285336368387</v>
      </c>
    </row>
    <row r="148" spans="1:11" x14ac:dyDescent="0.25">
      <c r="A148" s="1">
        <v>45578</v>
      </c>
      <c r="B148" t="s">
        <v>10</v>
      </c>
      <c r="C148" t="s">
        <v>15</v>
      </c>
      <c r="D148" t="s">
        <v>12</v>
      </c>
      <c r="E148">
        <v>5492</v>
      </c>
      <c r="F148">
        <v>225</v>
      </c>
      <c r="G148">
        <v>87.79</v>
      </c>
      <c r="H148">
        <v>15</v>
      </c>
      <c r="I148">
        <v>129.86000000000001</v>
      </c>
      <c r="J148">
        <v>6.6699999999999995E-2</v>
      </c>
      <c r="K148" s="6">
        <f t="shared" si="2"/>
        <v>4.0968681718863804</v>
      </c>
    </row>
    <row r="149" spans="1:11" x14ac:dyDescent="0.25">
      <c r="A149" s="1">
        <v>45578</v>
      </c>
      <c r="B149" t="s">
        <v>16</v>
      </c>
      <c r="C149" t="s">
        <v>11</v>
      </c>
      <c r="D149" t="s">
        <v>19</v>
      </c>
      <c r="E149">
        <v>20554</v>
      </c>
      <c r="F149">
        <v>451</v>
      </c>
      <c r="G149">
        <v>378.82</v>
      </c>
      <c r="H149">
        <v>27</v>
      </c>
      <c r="I149">
        <v>1353.3</v>
      </c>
      <c r="J149">
        <v>5.9900000000000002E-2</v>
      </c>
      <c r="K149" s="6">
        <f t="shared" si="2"/>
        <v>2.1942201031429405</v>
      </c>
    </row>
    <row r="150" spans="1:11" x14ac:dyDescent="0.25">
      <c r="A150" s="1">
        <v>45578</v>
      </c>
      <c r="B150" t="s">
        <v>16</v>
      </c>
      <c r="C150" t="s">
        <v>13</v>
      </c>
      <c r="D150" t="s">
        <v>28</v>
      </c>
      <c r="E150">
        <v>59962</v>
      </c>
      <c r="F150">
        <v>2223</v>
      </c>
      <c r="G150">
        <v>3122.23</v>
      </c>
      <c r="H150">
        <v>156</v>
      </c>
      <c r="I150">
        <v>9744.77</v>
      </c>
      <c r="J150">
        <v>7.0199999999999999E-2</v>
      </c>
      <c r="K150" s="6">
        <f t="shared" si="2"/>
        <v>3.70734798705847</v>
      </c>
    </row>
    <row r="151" spans="1:11" x14ac:dyDescent="0.25">
      <c r="A151" s="1">
        <v>45578</v>
      </c>
      <c r="B151" t="s">
        <v>16</v>
      </c>
      <c r="C151" t="s">
        <v>15</v>
      </c>
      <c r="D151" t="s">
        <v>18</v>
      </c>
      <c r="E151">
        <v>2812</v>
      </c>
      <c r="F151">
        <v>229</v>
      </c>
      <c r="G151">
        <v>90.04</v>
      </c>
      <c r="H151">
        <v>18</v>
      </c>
      <c r="I151">
        <v>354.68</v>
      </c>
      <c r="J151">
        <v>7.8600000000000003E-2</v>
      </c>
      <c r="K151" s="6">
        <f t="shared" si="2"/>
        <v>8.143669985775249</v>
      </c>
    </row>
    <row r="152" spans="1:11" x14ac:dyDescent="0.25">
      <c r="A152" s="1">
        <v>45578</v>
      </c>
      <c r="B152" t="s">
        <v>20</v>
      </c>
      <c r="C152" t="s">
        <v>11</v>
      </c>
      <c r="D152" t="s">
        <v>21</v>
      </c>
      <c r="E152">
        <v>24092</v>
      </c>
      <c r="F152">
        <v>762</v>
      </c>
      <c r="G152">
        <v>1365.71</v>
      </c>
      <c r="H152">
        <v>36</v>
      </c>
      <c r="I152">
        <v>3397.8</v>
      </c>
      <c r="J152">
        <v>4.7199999999999999E-2</v>
      </c>
      <c r="K152" s="6">
        <f t="shared" si="2"/>
        <v>3.1628756433670926</v>
      </c>
    </row>
    <row r="153" spans="1:11" x14ac:dyDescent="0.25">
      <c r="A153" s="1">
        <v>45578</v>
      </c>
      <c r="B153" t="s">
        <v>20</v>
      </c>
      <c r="C153" t="s">
        <v>13</v>
      </c>
      <c r="D153" t="s">
        <v>27</v>
      </c>
      <c r="E153">
        <v>61131</v>
      </c>
      <c r="F153">
        <v>1851</v>
      </c>
      <c r="G153">
        <v>3918.45</v>
      </c>
      <c r="H153">
        <v>120</v>
      </c>
      <c r="I153">
        <v>11056.7</v>
      </c>
      <c r="J153">
        <v>6.4799999999999996E-2</v>
      </c>
      <c r="K153" s="6">
        <f t="shared" si="2"/>
        <v>3.0279236393973599</v>
      </c>
    </row>
    <row r="154" spans="1:11" x14ac:dyDescent="0.25">
      <c r="A154" s="1">
        <v>45578</v>
      </c>
      <c r="B154" t="s">
        <v>20</v>
      </c>
      <c r="C154" t="s">
        <v>15</v>
      </c>
      <c r="D154" t="s">
        <v>23</v>
      </c>
      <c r="E154">
        <v>5066</v>
      </c>
      <c r="F154">
        <v>89</v>
      </c>
      <c r="G154">
        <v>290.39</v>
      </c>
      <c r="H154">
        <v>16</v>
      </c>
      <c r="I154">
        <v>422.55</v>
      </c>
      <c r="J154">
        <v>0.17979999999999999</v>
      </c>
      <c r="K154" s="6">
        <f t="shared" si="2"/>
        <v>1.7568101065929727</v>
      </c>
    </row>
    <row r="155" spans="1:11" x14ac:dyDescent="0.25">
      <c r="A155" s="1">
        <v>45578</v>
      </c>
      <c r="B155" t="s">
        <v>24</v>
      </c>
      <c r="C155" t="s">
        <v>11</v>
      </c>
      <c r="D155" t="s">
        <v>29</v>
      </c>
      <c r="E155">
        <v>13054</v>
      </c>
      <c r="F155">
        <v>742</v>
      </c>
      <c r="G155">
        <v>415.88</v>
      </c>
      <c r="H155">
        <v>57</v>
      </c>
      <c r="I155">
        <v>1087.97</v>
      </c>
      <c r="J155">
        <v>7.6799999999999993E-2</v>
      </c>
      <c r="K155" s="6">
        <f t="shared" si="2"/>
        <v>5.6840815075838824</v>
      </c>
    </row>
    <row r="156" spans="1:11" x14ac:dyDescent="0.25">
      <c r="A156" s="1">
        <v>45578</v>
      </c>
      <c r="B156" t="s">
        <v>24</v>
      </c>
      <c r="C156" t="s">
        <v>13</v>
      </c>
      <c r="D156" t="s">
        <v>26</v>
      </c>
      <c r="E156">
        <v>38930</v>
      </c>
      <c r="F156">
        <v>2201</v>
      </c>
      <c r="G156">
        <v>4826.5</v>
      </c>
      <c r="H156">
        <v>183</v>
      </c>
      <c r="I156">
        <v>11837.74</v>
      </c>
      <c r="J156">
        <v>8.3099999999999993E-2</v>
      </c>
      <c r="K156" s="6">
        <f t="shared" si="2"/>
        <v>5.6537374775237605</v>
      </c>
    </row>
    <row r="157" spans="1:11" x14ac:dyDescent="0.25">
      <c r="A157" s="1">
        <v>45578</v>
      </c>
      <c r="B157" t="s">
        <v>24</v>
      </c>
      <c r="C157" t="s">
        <v>15</v>
      </c>
      <c r="D157" t="s">
        <v>29</v>
      </c>
      <c r="E157">
        <v>5365</v>
      </c>
      <c r="F157">
        <v>140</v>
      </c>
      <c r="G157">
        <v>355.76</v>
      </c>
      <c r="H157">
        <v>14</v>
      </c>
      <c r="I157">
        <v>1600.48</v>
      </c>
      <c r="J157">
        <v>0.1</v>
      </c>
      <c r="K157" s="6">
        <f t="shared" si="2"/>
        <v>2.6095060577819198</v>
      </c>
    </row>
    <row r="158" spans="1:11" x14ac:dyDescent="0.25">
      <c r="A158" s="1">
        <v>45579</v>
      </c>
      <c r="B158" t="s">
        <v>10</v>
      </c>
      <c r="C158" t="s">
        <v>11</v>
      </c>
      <c r="D158" t="s">
        <v>14</v>
      </c>
      <c r="E158">
        <v>19425</v>
      </c>
      <c r="F158">
        <v>619</v>
      </c>
      <c r="G158">
        <v>721.98</v>
      </c>
      <c r="H158">
        <v>46</v>
      </c>
      <c r="I158">
        <v>2258.4699999999998</v>
      </c>
      <c r="J158">
        <v>7.4300000000000005E-2</v>
      </c>
      <c r="K158" s="6">
        <f t="shared" si="2"/>
        <v>3.1866151866151866</v>
      </c>
    </row>
    <row r="159" spans="1:11" x14ac:dyDescent="0.25">
      <c r="A159" s="1">
        <v>45579</v>
      </c>
      <c r="B159" t="s">
        <v>10</v>
      </c>
      <c r="C159" t="s">
        <v>13</v>
      </c>
      <c r="D159" t="s">
        <v>27</v>
      </c>
      <c r="E159">
        <v>66600</v>
      </c>
      <c r="F159">
        <v>1459</v>
      </c>
      <c r="G159">
        <v>4389.1000000000004</v>
      </c>
      <c r="H159">
        <v>129</v>
      </c>
      <c r="I159">
        <v>19366.55</v>
      </c>
      <c r="J159">
        <v>8.8400000000000006E-2</v>
      </c>
      <c r="K159" s="6">
        <f t="shared" si="2"/>
        <v>2.1906906906906909</v>
      </c>
    </row>
    <row r="160" spans="1:11" x14ac:dyDescent="0.25">
      <c r="A160" s="1">
        <v>45579</v>
      </c>
      <c r="B160" t="s">
        <v>10</v>
      </c>
      <c r="C160" t="s">
        <v>15</v>
      </c>
      <c r="D160" t="s">
        <v>17</v>
      </c>
      <c r="E160">
        <v>2941</v>
      </c>
      <c r="F160">
        <v>245</v>
      </c>
      <c r="G160">
        <v>147.5</v>
      </c>
      <c r="H160">
        <v>8</v>
      </c>
      <c r="I160">
        <v>629.45000000000005</v>
      </c>
      <c r="J160">
        <v>3.27E-2</v>
      </c>
      <c r="K160" s="6">
        <f t="shared" si="2"/>
        <v>8.3304998299897992</v>
      </c>
    </row>
    <row r="161" spans="1:11" x14ac:dyDescent="0.25">
      <c r="A161" s="1">
        <v>45579</v>
      </c>
      <c r="B161" t="s">
        <v>16</v>
      </c>
      <c r="C161" t="s">
        <v>11</v>
      </c>
      <c r="D161" t="s">
        <v>19</v>
      </c>
      <c r="E161">
        <v>29955</v>
      </c>
      <c r="F161">
        <v>573</v>
      </c>
      <c r="G161">
        <v>334.74</v>
      </c>
      <c r="H161">
        <v>27</v>
      </c>
      <c r="I161">
        <v>1295.53</v>
      </c>
      <c r="J161">
        <v>4.7100000000000003E-2</v>
      </c>
      <c r="K161" s="6">
        <f t="shared" si="2"/>
        <v>1.9128693039559341</v>
      </c>
    </row>
    <row r="162" spans="1:11" x14ac:dyDescent="0.25">
      <c r="A162" s="1">
        <v>45579</v>
      </c>
      <c r="B162" t="s">
        <v>16</v>
      </c>
      <c r="C162" t="s">
        <v>13</v>
      </c>
      <c r="D162" t="s">
        <v>28</v>
      </c>
      <c r="E162">
        <v>57270</v>
      </c>
      <c r="F162">
        <v>1718</v>
      </c>
      <c r="G162">
        <v>1024.42</v>
      </c>
      <c r="H162">
        <v>76</v>
      </c>
      <c r="I162">
        <v>3433.88</v>
      </c>
      <c r="J162">
        <v>4.4200000000000003E-2</v>
      </c>
      <c r="K162" s="6">
        <f t="shared" si="2"/>
        <v>2.9998253885105641</v>
      </c>
    </row>
    <row r="163" spans="1:11" x14ac:dyDescent="0.25">
      <c r="A163" s="1">
        <v>45579</v>
      </c>
      <c r="B163" t="s">
        <v>16</v>
      </c>
      <c r="C163" t="s">
        <v>15</v>
      </c>
      <c r="D163" t="s">
        <v>18</v>
      </c>
      <c r="E163">
        <v>2570</v>
      </c>
      <c r="F163">
        <v>86</v>
      </c>
      <c r="G163">
        <v>309.33999999999997</v>
      </c>
      <c r="H163">
        <v>1</v>
      </c>
      <c r="I163">
        <v>479.07</v>
      </c>
      <c r="J163">
        <v>1.1599999999999999E-2</v>
      </c>
      <c r="K163" s="6">
        <f t="shared" si="2"/>
        <v>3.3463035019455254</v>
      </c>
    </row>
    <row r="164" spans="1:11" x14ac:dyDescent="0.25">
      <c r="A164" s="1">
        <v>45579</v>
      </c>
      <c r="B164" t="s">
        <v>20</v>
      </c>
      <c r="C164" t="s">
        <v>11</v>
      </c>
      <c r="D164" t="s">
        <v>21</v>
      </c>
      <c r="E164">
        <v>22327</v>
      </c>
      <c r="F164">
        <v>729</v>
      </c>
      <c r="G164">
        <v>844.37</v>
      </c>
      <c r="H164">
        <v>20</v>
      </c>
      <c r="I164">
        <v>2200.6</v>
      </c>
      <c r="J164">
        <v>2.7400000000000001E-2</v>
      </c>
      <c r="K164" s="6">
        <f t="shared" si="2"/>
        <v>3.2651050297845661</v>
      </c>
    </row>
    <row r="165" spans="1:11" x14ac:dyDescent="0.25">
      <c r="A165" s="1">
        <v>45579</v>
      </c>
      <c r="B165" t="s">
        <v>20</v>
      </c>
      <c r="C165" t="s">
        <v>13</v>
      </c>
      <c r="D165" t="s">
        <v>23</v>
      </c>
      <c r="E165">
        <v>40567</v>
      </c>
      <c r="F165">
        <v>2809</v>
      </c>
      <c r="G165">
        <v>1210.44</v>
      </c>
      <c r="H165">
        <v>80</v>
      </c>
      <c r="I165">
        <v>4922.6899999999996</v>
      </c>
      <c r="J165">
        <v>2.8500000000000001E-2</v>
      </c>
      <c r="K165" s="6">
        <f t="shared" si="2"/>
        <v>6.9243473759459659</v>
      </c>
    </row>
    <row r="166" spans="1:11" x14ac:dyDescent="0.25">
      <c r="A166" s="1">
        <v>45579</v>
      </c>
      <c r="B166" t="s">
        <v>20</v>
      </c>
      <c r="C166" t="s">
        <v>15</v>
      </c>
      <c r="D166" t="s">
        <v>22</v>
      </c>
      <c r="E166">
        <v>7521</v>
      </c>
      <c r="F166">
        <v>70</v>
      </c>
      <c r="G166">
        <v>145.24</v>
      </c>
      <c r="H166">
        <v>14</v>
      </c>
      <c r="I166">
        <v>442.33</v>
      </c>
      <c r="J166">
        <v>0.2</v>
      </c>
      <c r="K166" s="6">
        <f t="shared" si="2"/>
        <v>0.93072729690200773</v>
      </c>
    </row>
    <row r="167" spans="1:11" x14ac:dyDescent="0.25">
      <c r="A167" s="1">
        <v>45579</v>
      </c>
      <c r="B167" t="s">
        <v>24</v>
      </c>
      <c r="C167" t="s">
        <v>11</v>
      </c>
      <c r="D167" t="s">
        <v>30</v>
      </c>
      <c r="E167">
        <v>23571</v>
      </c>
      <c r="F167">
        <v>579</v>
      </c>
      <c r="G167">
        <v>558.67999999999995</v>
      </c>
      <c r="H167">
        <v>42</v>
      </c>
      <c r="I167">
        <v>912.05</v>
      </c>
      <c r="J167">
        <v>7.2499999999999995E-2</v>
      </c>
      <c r="K167" s="6">
        <f t="shared" si="2"/>
        <v>2.4564082983326969</v>
      </c>
    </row>
    <row r="168" spans="1:11" x14ac:dyDescent="0.25">
      <c r="A168" s="1">
        <v>45579</v>
      </c>
      <c r="B168" t="s">
        <v>24</v>
      </c>
      <c r="C168" t="s">
        <v>13</v>
      </c>
      <c r="D168" t="s">
        <v>30</v>
      </c>
      <c r="E168">
        <v>42267</v>
      </c>
      <c r="F168">
        <v>1580</v>
      </c>
      <c r="G168">
        <v>3712.87</v>
      </c>
      <c r="H168">
        <v>191</v>
      </c>
      <c r="I168">
        <v>11321.3</v>
      </c>
      <c r="J168">
        <v>0.12089999999999999</v>
      </c>
      <c r="K168" s="6">
        <f t="shared" si="2"/>
        <v>3.7381408663969529</v>
      </c>
    </row>
    <row r="169" spans="1:11" x14ac:dyDescent="0.25">
      <c r="A169" s="1">
        <v>45579</v>
      </c>
      <c r="B169" t="s">
        <v>24</v>
      </c>
      <c r="C169" t="s">
        <v>15</v>
      </c>
      <c r="D169" t="s">
        <v>25</v>
      </c>
      <c r="E169">
        <v>2372</v>
      </c>
      <c r="F169">
        <v>106</v>
      </c>
      <c r="G169">
        <v>188.34</v>
      </c>
      <c r="H169">
        <v>20</v>
      </c>
      <c r="I169">
        <v>265.22000000000003</v>
      </c>
      <c r="J169">
        <v>0.18870000000000001</v>
      </c>
      <c r="K169" s="6">
        <f t="shared" si="2"/>
        <v>4.4688026981450255</v>
      </c>
    </row>
    <row r="170" spans="1:11" x14ac:dyDescent="0.25">
      <c r="A170" s="1">
        <v>45580</v>
      </c>
      <c r="B170" t="s">
        <v>10</v>
      </c>
      <c r="C170" t="s">
        <v>11</v>
      </c>
      <c r="D170" t="s">
        <v>27</v>
      </c>
      <c r="E170">
        <v>19876</v>
      </c>
      <c r="F170">
        <v>516</v>
      </c>
      <c r="G170">
        <v>1220.82</v>
      </c>
      <c r="H170">
        <v>58</v>
      </c>
      <c r="I170">
        <v>2650.37</v>
      </c>
      <c r="J170">
        <v>0.1124</v>
      </c>
      <c r="K170" s="6">
        <f t="shared" si="2"/>
        <v>2.5960957939223186</v>
      </c>
    </row>
    <row r="171" spans="1:11" x14ac:dyDescent="0.25">
      <c r="A171" s="1">
        <v>45580</v>
      </c>
      <c r="B171" t="s">
        <v>10</v>
      </c>
      <c r="C171" t="s">
        <v>13</v>
      </c>
      <c r="D171" t="s">
        <v>17</v>
      </c>
      <c r="E171">
        <v>42863</v>
      </c>
      <c r="F171">
        <v>1015</v>
      </c>
      <c r="G171">
        <v>2989.54</v>
      </c>
      <c r="H171">
        <v>150</v>
      </c>
      <c r="I171">
        <v>5583.39</v>
      </c>
      <c r="J171">
        <v>0.14779999999999999</v>
      </c>
      <c r="K171" s="6">
        <f t="shared" si="2"/>
        <v>2.3680097053402704</v>
      </c>
    </row>
    <row r="172" spans="1:11" x14ac:dyDescent="0.25">
      <c r="A172" s="1">
        <v>45580</v>
      </c>
      <c r="B172" t="s">
        <v>10</v>
      </c>
      <c r="C172" t="s">
        <v>15</v>
      </c>
      <c r="D172" t="s">
        <v>12</v>
      </c>
      <c r="E172">
        <v>6362</v>
      </c>
      <c r="F172">
        <v>230</v>
      </c>
      <c r="G172">
        <v>130.54</v>
      </c>
      <c r="H172">
        <v>18</v>
      </c>
      <c r="I172">
        <v>570.04</v>
      </c>
      <c r="J172">
        <v>7.8299999999999995E-2</v>
      </c>
      <c r="K172" s="6">
        <f t="shared" si="2"/>
        <v>3.6152153410877084</v>
      </c>
    </row>
    <row r="173" spans="1:11" x14ac:dyDescent="0.25">
      <c r="A173" s="1">
        <v>45580</v>
      </c>
      <c r="B173" t="s">
        <v>16</v>
      </c>
      <c r="C173" t="s">
        <v>11</v>
      </c>
      <c r="D173" t="s">
        <v>28</v>
      </c>
      <c r="E173">
        <v>12361</v>
      </c>
      <c r="F173">
        <v>706</v>
      </c>
      <c r="G173">
        <v>1334.12</v>
      </c>
      <c r="H173">
        <v>12</v>
      </c>
      <c r="I173">
        <v>3812.43</v>
      </c>
      <c r="J173">
        <v>1.7000000000000001E-2</v>
      </c>
      <c r="K173" s="6">
        <f t="shared" si="2"/>
        <v>5.7115120135911335</v>
      </c>
    </row>
    <row r="174" spans="1:11" x14ac:dyDescent="0.25">
      <c r="A174" s="1">
        <v>45580</v>
      </c>
      <c r="B174" t="s">
        <v>16</v>
      </c>
      <c r="C174" t="s">
        <v>13</v>
      </c>
      <c r="D174" t="s">
        <v>18</v>
      </c>
      <c r="E174">
        <v>40102</v>
      </c>
      <c r="F174">
        <v>2765</v>
      </c>
      <c r="G174">
        <v>2252.2399999999998</v>
      </c>
      <c r="H174">
        <v>149</v>
      </c>
      <c r="I174">
        <v>7610.14</v>
      </c>
      <c r="J174">
        <v>5.3900000000000003E-2</v>
      </c>
      <c r="K174" s="6">
        <f t="shared" si="2"/>
        <v>6.8949179592040295</v>
      </c>
    </row>
    <row r="175" spans="1:11" x14ac:dyDescent="0.25">
      <c r="A175" s="1">
        <v>45580</v>
      </c>
      <c r="B175" t="s">
        <v>16</v>
      </c>
      <c r="C175" t="s">
        <v>15</v>
      </c>
      <c r="D175" t="s">
        <v>18</v>
      </c>
      <c r="E175">
        <v>4371</v>
      </c>
      <c r="F175">
        <v>79</v>
      </c>
      <c r="G175">
        <v>191.76</v>
      </c>
      <c r="H175">
        <v>11</v>
      </c>
      <c r="I175">
        <v>355.35</v>
      </c>
      <c r="J175">
        <v>0.13919999999999999</v>
      </c>
      <c r="K175" s="6">
        <f t="shared" si="2"/>
        <v>1.8073667353008465</v>
      </c>
    </row>
    <row r="176" spans="1:11" x14ac:dyDescent="0.25">
      <c r="A176" s="1">
        <v>45580</v>
      </c>
      <c r="B176" t="s">
        <v>20</v>
      </c>
      <c r="C176" t="s">
        <v>11</v>
      </c>
      <c r="D176" t="s">
        <v>27</v>
      </c>
      <c r="E176">
        <v>21857</v>
      </c>
      <c r="F176">
        <v>390</v>
      </c>
      <c r="G176">
        <v>824.05</v>
      </c>
      <c r="H176">
        <v>16</v>
      </c>
      <c r="I176">
        <v>1750.78</v>
      </c>
      <c r="J176">
        <v>4.1000000000000002E-2</v>
      </c>
      <c r="K176" s="6">
        <f t="shared" si="2"/>
        <v>1.7843253877476324</v>
      </c>
    </row>
    <row r="177" spans="1:11" x14ac:dyDescent="0.25">
      <c r="A177" s="1">
        <v>45580</v>
      </c>
      <c r="B177" t="s">
        <v>20</v>
      </c>
      <c r="C177" t="s">
        <v>13</v>
      </c>
      <c r="D177" t="s">
        <v>27</v>
      </c>
      <c r="E177">
        <v>69338</v>
      </c>
      <c r="F177">
        <v>1161</v>
      </c>
      <c r="G177">
        <v>2583.0700000000002</v>
      </c>
      <c r="H177">
        <v>119</v>
      </c>
      <c r="I177">
        <v>10420.26</v>
      </c>
      <c r="J177">
        <v>0.10249999999999999</v>
      </c>
      <c r="K177" s="6">
        <f t="shared" si="2"/>
        <v>1.6744065303296893</v>
      </c>
    </row>
    <row r="178" spans="1:11" x14ac:dyDescent="0.25">
      <c r="A178" s="1">
        <v>45580</v>
      </c>
      <c r="B178" t="s">
        <v>20</v>
      </c>
      <c r="C178" t="s">
        <v>15</v>
      </c>
      <c r="D178" t="s">
        <v>21</v>
      </c>
      <c r="E178">
        <v>4728</v>
      </c>
      <c r="F178">
        <v>249</v>
      </c>
      <c r="G178">
        <v>108.85</v>
      </c>
      <c r="H178">
        <v>17</v>
      </c>
      <c r="I178">
        <v>392.54</v>
      </c>
      <c r="J178">
        <v>6.83E-2</v>
      </c>
      <c r="K178" s="6">
        <f t="shared" si="2"/>
        <v>5.2664974619289335</v>
      </c>
    </row>
    <row r="179" spans="1:11" x14ac:dyDescent="0.25">
      <c r="A179" s="1">
        <v>45580</v>
      </c>
      <c r="B179" t="s">
        <v>24</v>
      </c>
      <c r="C179" t="s">
        <v>11</v>
      </c>
      <c r="D179" t="s">
        <v>26</v>
      </c>
      <c r="E179">
        <v>21448</v>
      </c>
      <c r="F179">
        <v>659</v>
      </c>
      <c r="G179">
        <v>1172.8499999999999</v>
      </c>
      <c r="H179">
        <v>51</v>
      </c>
      <c r="I179">
        <v>5039.8999999999996</v>
      </c>
      <c r="J179">
        <v>7.7399999999999997E-2</v>
      </c>
      <c r="K179" s="6">
        <f t="shared" si="2"/>
        <v>3.0725475568817604</v>
      </c>
    </row>
    <row r="180" spans="1:11" x14ac:dyDescent="0.25">
      <c r="A180" s="1">
        <v>45580</v>
      </c>
      <c r="B180" t="s">
        <v>24</v>
      </c>
      <c r="C180" t="s">
        <v>13</v>
      </c>
      <c r="D180" t="s">
        <v>26</v>
      </c>
      <c r="E180">
        <v>41737</v>
      </c>
      <c r="F180">
        <v>1299</v>
      </c>
      <c r="G180">
        <v>2023.87</v>
      </c>
      <c r="H180">
        <v>84</v>
      </c>
      <c r="I180">
        <v>7061.52</v>
      </c>
      <c r="J180">
        <v>6.4699999999999994E-2</v>
      </c>
      <c r="K180" s="6">
        <f t="shared" si="2"/>
        <v>3.112346359345425</v>
      </c>
    </row>
    <row r="181" spans="1:11" x14ac:dyDescent="0.25">
      <c r="A181" s="1">
        <v>45580</v>
      </c>
      <c r="B181" t="s">
        <v>24</v>
      </c>
      <c r="C181" t="s">
        <v>15</v>
      </c>
      <c r="D181" t="s">
        <v>29</v>
      </c>
      <c r="E181">
        <v>3451</v>
      </c>
      <c r="F181">
        <v>247</v>
      </c>
      <c r="G181">
        <v>269.77999999999997</v>
      </c>
      <c r="H181">
        <v>15</v>
      </c>
      <c r="I181">
        <v>1097.17</v>
      </c>
      <c r="J181">
        <v>6.0699999999999997E-2</v>
      </c>
      <c r="K181" s="6">
        <f t="shared" si="2"/>
        <v>7.1573456968994487</v>
      </c>
    </row>
    <row r="182" spans="1:11" x14ac:dyDescent="0.25">
      <c r="A182" s="1">
        <v>45581</v>
      </c>
      <c r="B182" t="s">
        <v>10</v>
      </c>
      <c r="C182" t="s">
        <v>11</v>
      </c>
      <c r="D182" t="s">
        <v>12</v>
      </c>
      <c r="E182">
        <v>28497</v>
      </c>
      <c r="F182">
        <v>630</v>
      </c>
      <c r="G182">
        <v>1337.1</v>
      </c>
      <c r="H182">
        <v>50</v>
      </c>
      <c r="I182">
        <v>3210.82</v>
      </c>
      <c r="J182">
        <v>7.9399999999999998E-2</v>
      </c>
      <c r="K182" s="6">
        <f t="shared" si="2"/>
        <v>2.210759027266028</v>
      </c>
    </row>
    <row r="183" spans="1:11" x14ac:dyDescent="0.25">
      <c r="A183" s="1">
        <v>45581</v>
      </c>
      <c r="B183" t="s">
        <v>10</v>
      </c>
      <c r="C183" t="s">
        <v>13</v>
      </c>
      <c r="D183" t="s">
        <v>12</v>
      </c>
      <c r="E183">
        <v>39475</v>
      </c>
      <c r="F183">
        <v>1960</v>
      </c>
      <c r="G183">
        <v>2768.83</v>
      </c>
      <c r="H183">
        <v>117</v>
      </c>
      <c r="I183">
        <v>11701.22</v>
      </c>
      <c r="J183">
        <v>5.9700000000000003E-2</v>
      </c>
      <c r="K183" s="6">
        <f t="shared" si="2"/>
        <v>4.9651678277390756</v>
      </c>
    </row>
    <row r="184" spans="1:11" x14ac:dyDescent="0.25">
      <c r="A184" s="1">
        <v>45581</v>
      </c>
      <c r="B184" t="s">
        <v>10</v>
      </c>
      <c r="C184" t="s">
        <v>15</v>
      </c>
      <c r="D184" t="s">
        <v>14</v>
      </c>
      <c r="E184">
        <v>4883</v>
      </c>
      <c r="F184">
        <v>179</v>
      </c>
      <c r="G184">
        <v>75.97</v>
      </c>
      <c r="H184">
        <v>15</v>
      </c>
      <c r="I184">
        <v>221.63</v>
      </c>
      <c r="J184">
        <v>8.3799999999999999E-2</v>
      </c>
      <c r="K184" s="6">
        <f t="shared" si="2"/>
        <v>3.6657792340774114</v>
      </c>
    </row>
    <row r="185" spans="1:11" x14ac:dyDescent="0.25">
      <c r="A185" s="1">
        <v>45581</v>
      </c>
      <c r="B185" t="s">
        <v>16</v>
      </c>
      <c r="C185" t="s">
        <v>11</v>
      </c>
      <c r="D185" t="s">
        <v>19</v>
      </c>
      <c r="E185">
        <v>22082</v>
      </c>
      <c r="F185">
        <v>593</v>
      </c>
      <c r="G185">
        <v>392.08</v>
      </c>
      <c r="H185">
        <v>15</v>
      </c>
      <c r="I185">
        <v>1386.8</v>
      </c>
      <c r="J185">
        <v>2.53E-2</v>
      </c>
      <c r="K185" s="6">
        <f t="shared" si="2"/>
        <v>2.6854451589529935</v>
      </c>
    </row>
    <row r="186" spans="1:11" x14ac:dyDescent="0.25">
      <c r="A186" s="1">
        <v>45581</v>
      </c>
      <c r="B186" t="s">
        <v>16</v>
      </c>
      <c r="C186" t="s">
        <v>13</v>
      </c>
      <c r="D186" t="s">
        <v>18</v>
      </c>
      <c r="E186">
        <v>65324</v>
      </c>
      <c r="F186">
        <v>2188</v>
      </c>
      <c r="G186">
        <v>3217.27</v>
      </c>
      <c r="H186">
        <v>242</v>
      </c>
      <c r="I186">
        <v>12894.5</v>
      </c>
      <c r="J186">
        <v>0.1106</v>
      </c>
      <c r="K186" s="6">
        <f t="shared" si="2"/>
        <v>3.3494580858489988</v>
      </c>
    </row>
    <row r="187" spans="1:11" x14ac:dyDescent="0.25">
      <c r="A187" s="1">
        <v>45581</v>
      </c>
      <c r="B187" t="s">
        <v>16</v>
      </c>
      <c r="C187" t="s">
        <v>15</v>
      </c>
      <c r="D187" t="s">
        <v>19</v>
      </c>
      <c r="E187">
        <v>5684</v>
      </c>
      <c r="F187">
        <v>196</v>
      </c>
      <c r="G187">
        <v>278.14</v>
      </c>
      <c r="H187">
        <v>11</v>
      </c>
      <c r="I187">
        <v>973.22</v>
      </c>
      <c r="J187">
        <v>5.6099999999999997E-2</v>
      </c>
      <c r="K187" s="6">
        <f t="shared" si="2"/>
        <v>3.4482758620689653</v>
      </c>
    </row>
    <row r="188" spans="1:11" x14ac:dyDescent="0.25">
      <c r="A188" s="1">
        <v>45581</v>
      </c>
      <c r="B188" t="s">
        <v>20</v>
      </c>
      <c r="C188" t="s">
        <v>11</v>
      </c>
      <c r="D188" t="s">
        <v>21</v>
      </c>
      <c r="E188">
        <v>12027</v>
      </c>
      <c r="F188">
        <v>761</v>
      </c>
      <c r="G188">
        <v>424.2</v>
      </c>
      <c r="H188">
        <v>31</v>
      </c>
      <c r="I188">
        <v>2092.61</v>
      </c>
      <c r="J188">
        <v>4.07E-2</v>
      </c>
      <c r="K188" s="6">
        <f t="shared" si="2"/>
        <v>6.3274299492807842</v>
      </c>
    </row>
    <row r="189" spans="1:11" x14ac:dyDescent="0.25">
      <c r="A189" s="1">
        <v>45581</v>
      </c>
      <c r="B189" t="s">
        <v>20</v>
      </c>
      <c r="C189" t="s">
        <v>13</v>
      </c>
      <c r="D189" t="s">
        <v>22</v>
      </c>
      <c r="E189">
        <v>68066</v>
      </c>
      <c r="F189">
        <v>2323</v>
      </c>
      <c r="G189">
        <v>1690.24</v>
      </c>
      <c r="H189">
        <v>103</v>
      </c>
      <c r="I189">
        <v>6573.28</v>
      </c>
      <c r="J189">
        <v>4.4299999999999999E-2</v>
      </c>
      <c r="K189" s="6">
        <f t="shared" si="2"/>
        <v>3.412863984955778</v>
      </c>
    </row>
    <row r="190" spans="1:11" x14ac:dyDescent="0.25">
      <c r="A190" s="1">
        <v>45581</v>
      </c>
      <c r="B190" t="s">
        <v>20</v>
      </c>
      <c r="C190" t="s">
        <v>15</v>
      </c>
      <c r="D190" t="s">
        <v>27</v>
      </c>
      <c r="E190">
        <v>6293</v>
      </c>
      <c r="F190">
        <v>183</v>
      </c>
      <c r="G190">
        <v>263.43</v>
      </c>
      <c r="H190">
        <v>12</v>
      </c>
      <c r="I190">
        <v>689.35</v>
      </c>
      <c r="J190">
        <v>6.5600000000000006E-2</v>
      </c>
      <c r="K190" s="6">
        <f t="shared" si="2"/>
        <v>2.9079930081042429</v>
      </c>
    </row>
    <row r="191" spans="1:11" x14ac:dyDescent="0.25">
      <c r="A191" s="1">
        <v>45581</v>
      </c>
      <c r="B191" t="s">
        <v>24</v>
      </c>
      <c r="C191" t="s">
        <v>11</v>
      </c>
      <c r="D191" t="s">
        <v>25</v>
      </c>
      <c r="E191">
        <v>22694</v>
      </c>
      <c r="F191">
        <v>718</v>
      </c>
      <c r="G191">
        <v>1229.3599999999999</v>
      </c>
      <c r="H191">
        <v>53</v>
      </c>
      <c r="I191">
        <v>4268.3</v>
      </c>
      <c r="J191">
        <v>7.3800000000000004E-2</v>
      </c>
      <c r="K191" s="6">
        <f t="shared" si="2"/>
        <v>3.1638318498281484</v>
      </c>
    </row>
    <row r="192" spans="1:11" x14ac:dyDescent="0.25">
      <c r="A192" s="1">
        <v>45581</v>
      </c>
      <c r="B192" t="s">
        <v>24</v>
      </c>
      <c r="C192" t="s">
        <v>13</v>
      </c>
      <c r="D192" t="s">
        <v>25</v>
      </c>
      <c r="E192">
        <v>39319</v>
      </c>
      <c r="F192">
        <v>1675</v>
      </c>
      <c r="G192">
        <v>1378.02</v>
      </c>
      <c r="H192">
        <v>213</v>
      </c>
      <c r="I192">
        <v>3677.86</v>
      </c>
      <c r="J192">
        <v>0.12720000000000001</v>
      </c>
      <c r="K192" s="6">
        <f t="shared" si="2"/>
        <v>4.2600269589765762</v>
      </c>
    </row>
    <row r="193" spans="1:11" x14ac:dyDescent="0.25">
      <c r="A193" s="1">
        <v>45581</v>
      </c>
      <c r="B193" t="s">
        <v>24</v>
      </c>
      <c r="C193" t="s">
        <v>15</v>
      </c>
      <c r="D193" t="s">
        <v>25</v>
      </c>
      <c r="E193">
        <v>7928</v>
      </c>
      <c r="F193">
        <v>218</v>
      </c>
      <c r="G193">
        <v>387.54</v>
      </c>
      <c r="H193">
        <v>20</v>
      </c>
      <c r="I193">
        <v>1751.09</v>
      </c>
      <c r="J193">
        <v>9.1700000000000004E-2</v>
      </c>
      <c r="K193" s="6">
        <f t="shared" si="2"/>
        <v>2.7497477295660948</v>
      </c>
    </row>
    <row r="194" spans="1:11" x14ac:dyDescent="0.25">
      <c r="A194" s="1">
        <v>45582</v>
      </c>
      <c r="B194" t="s">
        <v>10</v>
      </c>
      <c r="C194" t="s">
        <v>11</v>
      </c>
      <c r="D194" t="s">
        <v>17</v>
      </c>
      <c r="E194">
        <v>12670</v>
      </c>
      <c r="F194">
        <v>896</v>
      </c>
      <c r="G194">
        <v>1096.33</v>
      </c>
      <c r="H194">
        <v>32</v>
      </c>
      <c r="I194">
        <v>2608.04</v>
      </c>
      <c r="J194">
        <v>3.5700000000000003E-2</v>
      </c>
      <c r="K194" s="6">
        <f t="shared" si="2"/>
        <v>7.0718232044198901</v>
      </c>
    </row>
    <row r="195" spans="1:11" x14ac:dyDescent="0.25">
      <c r="A195" s="1">
        <v>45582</v>
      </c>
      <c r="B195" t="s">
        <v>10</v>
      </c>
      <c r="C195" t="s">
        <v>13</v>
      </c>
      <c r="D195" t="s">
        <v>12</v>
      </c>
      <c r="E195">
        <v>43450</v>
      </c>
      <c r="F195">
        <v>2218</v>
      </c>
      <c r="G195">
        <v>3835.34</v>
      </c>
      <c r="H195">
        <v>61</v>
      </c>
      <c r="I195">
        <v>9114.34</v>
      </c>
      <c r="J195">
        <v>2.75E-2</v>
      </c>
      <c r="K195" s="6">
        <f t="shared" ref="K195:K258" si="3">(F195/E195) *100</f>
        <v>5.1047180667433834</v>
      </c>
    </row>
    <row r="196" spans="1:11" x14ac:dyDescent="0.25">
      <c r="A196" s="1">
        <v>45582</v>
      </c>
      <c r="B196" t="s">
        <v>10</v>
      </c>
      <c r="C196" t="s">
        <v>15</v>
      </c>
      <c r="D196" t="s">
        <v>12</v>
      </c>
      <c r="E196">
        <v>7271</v>
      </c>
      <c r="F196">
        <v>134</v>
      </c>
      <c r="G196">
        <v>334.61</v>
      </c>
      <c r="H196">
        <v>17</v>
      </c>
      <c r="I196">
        <v>520.36</v>
      </c>
      <c r="J196">
        <v>0.12690000000000001</v>
      </c>
      <c r="K196" s="6">
        <f t="shared" si="3"/>
        <v>1.8429376977032046</v>
      </c>
    </row>
    <row r="197" spans="1:11" x14ac:dyDescent="0.25">
      <c r="A197" s="1">
        <v>45582</v>
      </c>
      <c r="B197" t="s">
        <v>16</v>
      </c>
      <c r="C197" t="s">
        <v>11</v>
      </c>
      <c r="D197" t="s">
        <v>18</v>
      </c>
      <c r="E197">
        <v>26662</v>
      </c>
      <c r="F197">
        <v>670</v>
      </c>
      <c r="G197">
        <v>321.88</v>
      </c>
      <c r="H197">
        <v>29</v>
      </c>
      <c r="I197">
        <v>606.74</v>
      </c>
      <c r="J197">
        <v>4.3299999999999998E-2</v>
      </c>
      <c r="K197" s="6">
        <f t="shared" si="3"/>
        <v>2.5129397644587805</v>
      </c>
    </row>
    <row r="198" spans="1:11" x14ac:dyDescent="0.25">
      <c r="A198" s="1">
        <v>45582</v>
      </c>
      <c r="B198" t="s">
        <v>16</v>
      </c>
      <c r="C198" t="s">
        <v>13</v>
      </c>
      <c r="D198" t="s">
        <v>17</v>
      </c>
      <c r="E198">
        <v>57395</v>
      </c>
      <c r="F198">
        <v>2940</v>
      </c>
      <c r="G198">
        <v>4064.62</v>
      </c>
      <c r="H198">
        <v>89</v>
      </c>
      <c r="I198">
        <v>8376.6299999999992</v>
      </c>
      <c r="J198">
        <v>3.0300000000000001E-2</v>
      </c>
      <c r="K198" s="6">
        <f t="shared" si="3"/>
        <v>5.1223974213781682</v>
      </c>
    </row>
    <row r="199" spans="1:11" x14ac:dyDescent="0.25">
      <c r="A199" s="1">
        <v>45582</v>
      </c>
      <c r="B199" t="s">
        <v>16</v>
      </c>
      <c r="C199" t="s">
        <v>15</v>
      </c>
      <c r="D199" t="s">
        <v>17</v>
      </c>
      <c r="E199">
        <v>3269</v>
      </c>
      <c r="F199">
        <v>69</v>
      </c>
      <c r="G199">
        <v>153.53</v>
      </c>
      <c r="H199">
        <v>4</v>
      </c>
      <c r="I199">
        <v>480.43</v>
      </c>
      <c r="J199">
        <v>5.8000000000000003E-2</v>
      </c>
      <c r="K199" s="6">
        <f t="shared" si="3"/>
        <v>2.1107372285102479</v>
      </c>
    </row>
    <row r="200" spans="1:11" x14ac:dyDescent="0.25">
      <c r="A200" s="1">
        <v>45582</v>
      </c>
      <c r="B200" t="s">
        <v>20</v>
      </c>
      <c r="C200" t="s">
        <v>11</v>
      </c>
      <c r="D200" t="s">
        <v>22</v>
      </c>
      <c r="E200">
        <v>21035</v>
      </c>
      <c r="F200">
        <v>434</v>
      </c>
      <c r="G200">
        <v>1016.7</v>
      </c>
      <c r="H200">
        <v>19</v>
      </c>
      <c r="I200">
        <v>1846.88</v>
      </c>
      <c r="J200">
        <v>4.3799999999999999E-2</v>
      </c>
      <c r="K200" s="6">
        <f t="shared" si="3"/>
        <v>2.0632279534109816</v>
      </c>
    </row>
    <row r="201" spans="1:11" x14ac:dyDescent="0.25">
      <c r="A201" s="1">
        <v>45582</v>
      </c>
      <c r="B201" t="s">
        <v>20</v>
      </c>
      <c r="C201" t="s">
        <v>13</v>
      </c>
      <c r="D201" t="s">
        <v>21</v>
      </c>
      <c r="E201">
        <v>63683</v>
      </c>
      <c r="F201">
        <v>1089</v>
      </c>
      <c r="G201">
        <v>2643.43</v>
      </c>
      <c r="H201">
        <v>213</v>
      </c>
      <c r="I201">
        <v>10400.379999999999</v>
      </c>
      <c r="J201">
        <v>0.1956</v>
      </c>
      <c r="K201" s="6">
        <f t="shared" si="3"/>
        <v>1.7100325047500902</v>
      </c>
    </row>
    <row r="202" spans="1:11" x14ac:dyDescent="0.25">
      <c r="A202" s="1">
        <v>45582</v>
      </c>
      <c r="B202" t="s">
        <v>20</v>
      </c>
      <c r="C202" t="s">
        <v>15</v>
      </c>
      <c r="D202" t="s">
        <v>27</v>
      </c>
      <c r="E202">
        <v>7001</v>
      </c>
      <c r="F202">
        <v>122</v>
      </c>
      <c r="G202">
        <v>313.33999999999997</v>
      </c>
      <c r="H202">
        <v>15</v>
      </c>
      <c r="I202">
        <v>654.63</v>
      </c>
      <c r="J202">
        <v>0.123</v>
      </c>
      <c r="K202" s="6">
        <f t="shared" si="3"/>
        <v>1.742608198828739</v>
      </c>
    </row>
    <row r="203" spans="1:11" x14ac:dyDescent="0.25">
      <c r="A203" s="1">
        <v>45582</v>
      </c>
      <c r="B203" t="s">
        <v>24</v>
      </c>
      <c r="C203" t="s">
        <v>11</v>
      </c>
      <c r="D203" t="s">
        <v>26</v>
      </c>
      <c r="E203">
        <v>20140</v>
      </c>
      <c r="F203">
        <v>780</v>
      </c>
      <c r="G203">
        <v>1384.77</v>
      </c>
      <c r="H203">
        <v>22</v>
      </c>
      <c r="I203">
        <v>3597.35</v>
      </c>
      <c r="J203">
        <v>2.8199999999999999E-2</v>
      </c>
      <c r="K203" s="6">
        <f t="shared" si="3"/>
        <v>3.8728897715988087</v>
      </c>
    </row>
    <row r="204" spans="1:11" x14ac:dyDescent="0.25">
      <c r="A204" s="1">
        <v>45582</v>
      </c>
      <c r="B204" t="s">
        <v>24</v>
      </c>
      <c r="C204" t="s">
        <v>13</v>
      </c>
      <c r="D204" t="s">
        <v>30</v>
      </c>
      <c r="E204">
        <v>65256</v>
      </c>
      <c r="F204">
        <v>2575</v>
      </c>
      <c r="G204">
        <v>2127.09</v>
      </c>
      <c r="H204">
        <v>137</v>
      </c>
      <c r="I204">
        <v>6617.47</v>
      </c>
      <c r="J204">
        <v>5.3199999999999997E-2</v>
      </c>
      <c r="K204" s="6">
        <f t="shared" si="3"/>
        <v>3.9459973029299986</v>
      </c>
    </row>
    <row r="205" spans="1:11" x14ac:dyDescent="0.25">
      <c r="A205" s="1">
        <v>45582</v>
      </c>
      <c r="B205" t="s">
        <v>24</v>
      </c>
      <c r="C205" t="s">
        <v>15</v>
      </c>
      <c r="D205" t="s">
        <v>30</v>
      </c>
      <c r="E205">
        <v>3327</v>
      </c>
      <c r="F205">
        <v>101</v>
      </c>
      <c r="G205">
        <v>330.44</v>
      </c>
      <c r="H205">
        <v>5</v>
      </c>
      <c r="I205">
        <v>1492.73</v>
      </c>
      <c r="J205">
        <v>4.9500000000000002E-2</v>
      </c>
      <c r="K205" s="6">
        <f t="shared" si="3"/>
        <v>3.0357679591223325</v>
      </c>
    </row>
    <row r="206" spans="1:11" x14ac:dyDescent="0.25">
      <c r="A206" s="1">
        <v>45583</v>
      </c>
      <c r="B206" t="s">
        <v>10</v>
      </c>
      <c r="C206" t="s">
        <v>11</v>
      </c>
      <c r="D206" t="s">
        <v>14</v>
      </c>
      <c r="E206">
        <v>25747</v>
      </c>
      <c r="F206">
        <v>680</v>
      </c>
      <c r="G206">
        <v>965.45</v>
      </c>
      <c r="H206">
        <v>16</v>
      </c>
      <c r="I206">
        <v>3768.46</v>
      </c>
      <c r="J206">
        <v>2.35E-2</v>
      </c>
      <c r="K206" s="6">
        <f t="shared" si="3"/>
        <v>2.6410843981823127</v>
      </c>
    </row>
    <row r="207" spans="1:11" x14ac:dyDescent="0.25">
      <c r="A207" s="1">
        <v>45583</v>
      </c>
      <c r="B207" t="s">
        <v>10</v>
      </c>
      <c r="C207" t="s">
        <v>13</v>
      </c>
      <c r="D207" t="s">
        <v>14</v>
      </c>
      <c r="E207">
        <v>53681</v>
      </c>
      <c r="F207">
        <v>1171</v>
      </c>
      <c r="G207">
        <v>4052.47</v>
      </c>
      <c r="H207">
        <v>109</v>
      </c>
      <c r="I207">
        <v>11782.2</v>
      </c>
      <c r="J207">
        <v>9.3100000000000002E-2</v>
      </c>
      <c r="K207" s="6">
        <f t="shared" si="3"/>
        <v>2.1814049663754402</v>
      </c>
    </row>
    <row r="208" spans="1:11" x14ac:dyDescent="0.25">
      <c r="A208" s="1">
        <v>45583</v>
      </c>
      <c r="B208" t="s">
        <v>10</v>
      </c>
      <c r="C208" t="s">
        <v>15</v>
      </c>
      <c r="D208" t="s">
        <v>27</v>
      </c>
      <c r="E208">
        <v>5583</v>
      </c>
      <c r="F208">
        <v>73</v>
      </c>
      <c r="G208">
        <v>381.24</v>
      </c>
      <c r="H208">
        <v>8</v>
      </c>
      <c r="I208">
        <v>1640.66</v>
      </c>
      <c r="J208">
        <v>0.1096</v>
      </c>
      <c r="K208" s="6">
        <f t="shared" si="3"/>
        <v>1.307540748701415</v>
      </c>
    </row>
    <row r="209" spans="1:11" x14ac:dyDescent="0.25">
      <c r="A209" s="1">
        <v>45583</v>
      </c>
      <c r="B209" t="s">
        <v>16</v>
      </c>
      <c r="C209" t="s">
        <v>11</v>
      </c>
      <c r="D209" t="s">
        <v>28</v>
      </c>
      <c r="E209">
        <v>10873</v>
      </c>
      <c r="F209">
        <v>724</v>
      </c>
      <c r="G209">
        <v>363.91</v>
      </c>
      <c r="H209">
        <v>42</v>
      </c>
      <c r="I209">
        <v>953.83</v>
      </c>
      <c r="J209">
        <v>5.8000000000000003E-2</v>
      </c>
      <c r="K209" s="6">
        <f t="shared" si="3"/>
        <v>6.6586958521107329</v>
      </c>
    </row>
    <row r="210" spans="1:11" x14ac:dyDescent="0.25">
      <c r="A210" s="1">
        <v>45583</v>
      </c>
      <c r="B210" t="s">
        <v>16</v>
      </c>
      <c r="C210" t="s">
        <v>13</v>
      </c>
      <c r="D210" t="s">
        <v>18</v>
      </c>
      <c r="E210">
        <v>40348</v>
      </c>
      <c r="F210">
        <v>1767</v>
      </c>
      <c r="G210">
        <v>1898.16</v>
      </c>
      <c r="H210">
        <v>121</v>
      </c>
      <c r="I210">
        <v>8991.85</v>
      </c>
      <c r="J210">
        <v>6.8500000000000005E-2</v>
      </c>
      <c r="K210" s="6">
        <f t="shared" si="3"/>
        <v>4.3793992267274717</v>
      </c>
    </row>
    <row r="211" spans="1:11" x14ac:dyDescent="0.25">
      <c r="A211" s="1">
        <v>45583</v>
      </c>
      <c r="B211" t="s">
        <v>16</v>
      </c>
      <c r="C211" t="s">
        <v>15</v>
      </c>
      <c r="D211" t="s">
        <v>28</v>
      </c>
      <c r="E211">
        <v>3196</v>
      </c>
      <c r="F211">
        <v>85</v>
      </c>
      <c r="G211">
        <v>63.41</v>
      </c>
      <c r="H211">
        <v>16</v>
      </c>
      <c r="I211">
        <v>243.82</v>
      </c>
      <c r="J211">
        <v>0.18820000000000001</v>
      </c>
      <c r="K211" s="6">
        <f t="shared" si="3"/>
        <v>2.6595744680851063</v>
      </c>
    </row>
    <row r="212" spans="1:11" x14ac:dyDescent="0.25">
      <c r="A212" s="1">
        <v>45583</v>
      </c>
      <c r="B212" t="s">
        <v>20</v>
      </c>
      <c r="C212" t="s">
        <v>11</v>
      </c>
      <c r="D212" t="s">
        <v>21</v>
      </c>
      <c r="E212">
        <v>25371</v>
      </c>
      <c r="F212">
        <v>759</v>
      </c>
      <c r="G212">
        <v>1038.42</v>
      </c>
      <c r="H212">
        <v>15</v>
      </c>
      <c r="I212">
        <v>1321.09</v>
      </c>
      <c r="J212">
        <v>1.9800000000000002E-2</v>
      </c>
      <c r="K212" s="6">
        <f t="shared" si="3"/>
        <v>2.9916045879153366</v>
      </c>
    </row>
    <row r="213" spans="1:11" x14ac:dyDescent="0.25">
      <c r="A213" s="1">
        <v>45583</v>
      </c>
      <c r="B213" t="s">
        <v>20</v>
      </c>
      <c r="C213" t="s">
        <v>13</v>
      </c>
      <c r="D213" t="s">
        <v>21</v>
      </c>
      <c r="E213">
        <v>44798</v>
      </c>
      <c r="F213">
        <v>2123</v>
      </c>
      <c r="G213">
        <v>4760.8999999999996</v>
      </c>
      <c r="H213">
        <v>195</v>
      </c>
      <c r="I213">
        <v>15261.22</v>
      </c>
      <c r="J213">
        <v>9.1899999999999996E-2</v>
      </c>
      <c r="K213" s="6">
        <f t="shared" si="3"/>
        <v>4.7390508504843964</v>
      </c>
    </row>
    <row r="214" spans="1:11" x14ac:dyDescent="0.25">
      <c r="A214" s="1">
        <v>45583</v>
      </c>
      <c r="B214" t="s">
        <v>20</v>
      </c>
      <c r="C214" t="s">
        <v>15</v>
      </c>
      <c r="D214" t="s">
        <v>22</v>
      </c>
      <c r="E214">
        <v>4360</v>
      </c>
      <c r="F214">
        <v>110</v>
      </c>
      <c r="G214">
        <v>155.4</v>
      </c>
      <c r="H214">
        <v>2</v>
      </c>
      <c r="I214">
        <v>327.27999999999997</v>
      </c>
      <c r="J214">
        <v>1.8200000000000001E-2</v>
      </c>
      <c r="K214" s="6">
        <f t="shared" si="3"/>
        <v>2.522935779816514</v>
      </c>
    </row>
    <row r="215" spans="1:11" x14ac:dyDescent="0.25">
      <c r="A215" s="1">
        <v>45583</v>
      </c>
      <c r="B215" t="s">
        <v>24</v>
      </c>
      <c r="C215" t="s">
        <v>11</v>
      </c>
      <c r="D215" t="s">
        <v>30</v>
      </c>
      <c r="E215">
        <v>12058</v>
      </c>
      <c r="F215">
        <v>413</v>
      </c>
      <c r="G215">
        <v>1304.03</v>
      </c>
      <c r="H215">
        <v>41</v>
      </c>
      <c r="I215">
        <v>4521.87</v>
      </c>
      <c r="J215">
        <v>9.9299999999999999E-2</v>
      </c>
      <c r="K215" s="6">
        <f t="shared" si="3"/>
        <v>3.4251119588654837</v>
      </c>
    </row>
    <row r="216" spans="1:11" x14ac:dyDescent="0.25">
      <c r="A216" s="1">
        <v>45583</v>
      </c>
      <c r="B216" t="s">
        <v>24</v>
      </c>
      <c r="C216" t="s">
        <v>13</v>
      </c>
      <c r="D216" t="s">
        <v>29</v>
      </c>
      <c r="E216">
        <v>68775</v>
      </c>
      <c r="F216">
        <v>2177</v>
      </c>
      <c r="G216">
        <v>1967.75</v>
      </c>
      <c r="H216">
        <v>76</v>
      </c>
      <c r="I216">
        <v>4539.2700000000004</v>
      </c>
      <c r="J216">
        <v>3.49E-2</v>
      </c>
      <c r="K216" s="6">
        <f t="shared" si="3"/>
        <v>3.1653944020356235</v>
      </c>
    </row>
    <row r="217" spans="1:11" x14ac:dyDescent="0.25">
      <c r="A217" s="1">
        <v>45583</v>
      </c>
      <c r="B217" t="s">
        <v>24</v>
      </c>
      <c r="C217" t="s">
        <v>15</v>
      </c>
      <c r="D217" t="s">
        <v>29</v>
      </c>
      <c r="E217">
        <v>7036</v>
      </c>
      <c r="F217">
        <v>140</v>
      </c>
      <c r="G217">
        <v>134.19999999999999</v>
      </c>
      <c r="H217">
        <v>14</v>
      </c>
      <c r="I217">
        <v>256.56</v>
      </c>
      <c r="J217">
        <v>0.1</v>
      </c>
      <c r="K217" s="6">
        <f t="shared" si="3"/>
        <v>1.9897669130187607</v>
      </c>
    </row>
    <row r="218" spans="1:11" x14ac:dyDescent="0.25">
      <c r="A218" s="1">
        <v>45584</v>
      </c>
      <c r="B218" t="s">
        <v>10</v>
      </c>
      <c r="C218" t="s">
        <v>11</v>
      </c>
      <c r="D218" t="s">
        <v>14</v>
      </c>
      <c r="E218">
        <v>27153</v>
      </c>
      <c r="F218">
        <v>669</v>
      </c>
      <c r="G218">
        <v>381.22</v>
      </c>
      <c r="H218">
        <v>43</v>
      </c>
      <c r="I218">
        <v>1245.6400000000001</v>
      </c>
      <c r="J218">
        <v>6.4299999999999996E-2</v>
      </c>
      <c r="K218" s="6">
        <f t="shared" si="3"/>
        <v>2.4638161529112805</v>
      </c>
    </row>
    <row r="219" spans="1:11" x14ac:dyDescent="0.25">
      <c r="A219" s="1">
        <v>45584</v>
      </c>
      <c r="B219" t="s">
        <v>10</v>
      </c>
      <c r="C219" t="s">
        <v>13</v>
      </c>
      <c r="D219" t="s">
        <v>14</v>
      </c>
      <c r="E219">
        <v>60588</v>
      </c>
      <c r="F219">
        <v>2788</v>
      </c>
      <c r="G219">
        <v>2880.54</v>
      </c>
      <c r="H219">
        <v>202</v>
      </c>
      <c r="I219">
        <v>7691.47</v>
      </c>
      <c r="J219">
        <v>7.2499999999999995E-2</v>
      </c>
      <c r="K219" s="6">
        <f t="shared" si="3"/>
        <v>4.6015712682379348</v>
      </c>
    </row>
    <row r="220" spans="1:11" x14ac:dyDescent="0.25">
      <c r="A220" s="1">
        <v>45584</v>
      </c>
      <c r="B220" t="s">
        <v>10</v>
      </c>
      <c r="C220" t="s">
        <v>15</v>
      </c>
      <c r="D220" t="s">
        <v>17</v>
      </c>
      <c r="E220">
        <v>4077</v>
      </c>
      <c r="F220">
        <v>241</v>
      </c>
      <c r="G220">
        <v>55.68</v>
      </c>
      <c r="H220">
        <v>3</v>
      </c>
      <c r="I220">
        <v>139.77000000000001</v>
      </c>
      <c r="J220">
        <v>1.24E-2</v>
      </c>
      <c r="K220" s="6">
        <f t="shared" si="3"/>
        <v>5.9112092224675008</v>
      </c>
    </row>
    <row r="221" spans="1:11" x14ac:dyDescent="0.25">
      <c r="A221" s="1">
        <v>45584</v>
      </c>
      <c r="B221" t="s">
        <v>16</v>
      </c>
      <c r="C221" t="s">
        <v>11</v>
      </c>
      <c r="D221" t="s">
        <v>19</v>
      </c>
      <c r="E221">
        <v>29067</v>
      </c>
      <c r="F221">
        <v>640</v>
      </c>
      <c r="G221">
        <v>460.09</v>
      </c>
      <c r="H221">
        <v>32</v>
      </c>
      <c r="I221">
        <v>1506.73</v>
      </c>
      <c r="J221">
        <v>0.05</v>
      </c>
      <c r="K221" s="6">
        <f t="shared" si="3"/>
        <v>2.2018096122750888</v>
      </c>
    </row>
    <row r="222" spans="1:11" x14ac:dyDescent="0.25">
      <c r="A222" s="1">
        <v>45584</v>
      </c>
      <c r="B222" t="s">
        <v>16</v>
      </c>
      <c r="C222" t="s">
        <v>13</v>
      </c>
      <c r="D222" t="s">
        <v>17</v>
      </c>
      <c r="E222">
        <v>65449</v>
      </c>
      <c r="F222">
        <v>2424</v>
      </c>
      <c r="G222">
        <v>2914.12</v>
      </c>
      <c r="H222">
        <v>86</v>
      </c>
      <c r="I222">
        <v>12483.19</v>
      </c>
      <c r="J222">
        <v>3.5499999999999997E-2</v>
      </c>
      <c r="K222" s="6">
        <f t="shared" si="3"/>
        <v>3.7036471145472047</v>
      </c>
    </row>
    <row r="223" spans="1:11" x14ac:dyDescent="0.25">
      <c r="A223" s="1">
        <v>45584</v>
      </c>
      <c r="B223" t="s">
        <v>16</v>
      </c>
      <c r="C223" t="s">
        <v>15</v>
      </c>
      <c r="D223" t="s">
        <v>19</v>
      </c>
      <c r="E223">
        <v>7865</v>
      </c>
      <c r="F223">
        <v>248</v>
      </c>
      <c r="G223">
        <v>380.26</v>
      </c>
      <c r="H223">
        <v>2</v>
      </c>
      <c r="I223">
        <v>880.33</v>
      </c>
      <c r="J223">
        <v>8.0999999999999996E-3</v>
      </c>
      <c r="K223" s="6">
        <f t="shared" si="3"/>
        <v>3.1532104259376985</v>
      </c>
    </row>
    <row r="224" spans="1:11" x14ac:dyDescent="0.25">
      <c r="A224" s="1">
        <v>45584</v>
      </c>
      <c r="B224" t="s">
        <v>20</v>
      </c>
      <c r="C224" t="s">
        <v>11</v>
      </c>
      <c r="D224" t="s">
        <v>22</v>
      </c>
      <c r="E224">
        <v>16536</v>
      </c>
      <c r="F224">
        <v>342</v>
      </c>
      <c r="G224">
        <v>678.71</v>
      </c>
      <c r="H224">
        <v>29</v>
      </c>
      <c r="I224">
        <v>2143.6799999999998</v>
      </c>
      <c r="J224">
        <v>8.48E-2</v>
      </c>
      <c r="K224" s="6">
        <f t="shared" si="3"/>
        <v>2.0682148040638606</v>
      </c>
    </row>
    <row r="225" spans="1:11" x14ac:dyDescent="0.25">
      <c r="A225" s="1">
        <v>45584</v>
      </c>
      <c r="B225" t="s">
        <v>20</v>
      </c>
      <c r="C225" t="s">
        <v>13</v>
      </c>
      <c r="D225" t="s">
        <v>27</v>
      </c>
      <c r="E225">
        <v>51601</v>
      </c>
      <c r="F225">
        <v>1074</v>
      </c>
      <c r="G225">
        <v>4013.16</v>
      </c>
      <c r="H225">
        <v>88</v>
      </c>
      <c r="I225">
        <v>9178.99</v>
      </c>
      <c r="J225">
        <v>8.1900000000000001E-2</v>
      </c>
      <c r="K225" s="6">
        <f t="shared" si="3"/>
        <v>2.081355012499758</v>
      </c>
    </row>
    <row r="226" spans="1:11" x14ac:dyDescent="0.25">
      <c r="A226" s="1">
        <v>45584</v>
      </c>
      <c r="B226" t="s">
        <v>20</v>
      </c>
      <c r="C226" t="s">
        <v>15</v>
      </c>
      <c r="D226" t="s">
        <v>22</v>
      </c>
      <c r="E226">
        <v>7371</v>
      </c>
      <c r="F226">
        <v>134</v>
      </c>
      <c r="G226">
        <v>145.63</v>
      </c>
      <c r="H226">
        <v>12</v>
      </c>
      <c r="I226">
        <v>416.56</v>
      </c>
      <c r="J226">
        <v>8.9599999999999999E-2</v>
      </c>
      <c r="K226" s="6">
        <f t="shared" si="3"/>
        <v>1.8179351512684845</v>
      </c>
    </row>
    <row r="227" spans="1:11" x14ac:dyDescent="0.25">
      <c r="A227" s="1">
        <v>45584</v>
      </c>
      <c r="B227" t="s">
        <v>24</v>
      </c>
      <c r="C227" t="s">
        <v>11</v>
      </c>
      <c r="D227" t="s">
        <v>30</v>
      </c>
      <c r="E227">
        <v>24409</v>
      </c>
      <c r="F227">
        <v>695</v>
      </c>
      <c r="G227">
        <v>706.84</v>
      </c>
      <c r="H227">
        <v>21</v>
      </c>
      <c r="I227">
        <v>2181.0100000000002</v>
      </c>
      <c r="J227">
        <v>3.0200000000000001E-2</v>
      </c>
      <c r="K227" s="6">
        <f t="shared" si="3"/>
        <v>2.8473104182883362</v>
      </c>
    </row>
    <row r="228" spans="1:11" x14ac:dyDescent="0.25">
      <c r="A228" s="1">
        <v>45584</v>
      </c>
      <c r="B228" t="s">
        <v>24</v>
      </c>
      <c r="C228" t="s">
        <v>13</v>
      </c>
      <c r="D228" t="s">
        <v>30</v>
      </c>
      <c r="E228">
        <v>59074</v>
      </c>
      <c r="F228">
        <v>2892</v>
      </c>
      <c r="G228">
        <v>4189.16</v>
      </c>
      <c r="H228">
        <v>108</v>
      </c>
      <c r="I228">
        <v>17780.310000000001</v>
      </c>
      <c r="J228">
        <v>3.73E-2</v>
      </c>
      <c r="K228" s="6">
        <f t="shared" si="3"/>
        <v>4.8955547279683111</v>
      </c>
    </row>
    <row r="229" spans="1:11" x14ac:dyDescent="0.25">
      <c r="A229" s="1">
        <v>45584</v>
      </c>
      <c r="B229" t="s">
        <v>24</v>
      </c>
      <c r="C229" t="s">
        <v>15</v>
      </c>
      <c r="D229" t="s">
        <v>30</v>
      </c>
      <c r="E229">
        <v>2646</v>
      </c>
      <c r="F229">
        <v>160</v>
      </c>
      <c r="G229">
        <v>260.86</v>
      </c>
      <c r="H229">
        <v>6</v>
      </c>
      <c r="I229">
        <v>853.74</v>
      </c>
      <c r="J229">
        <v>3.7499999999999999E-2</v>
      </c>
      <c r="K229" s="6">
        <f t="shared" si="3"/>
        <v>6.0468631897203329</v>
      </c>
    </row>
    <row r="230" spans="1:11" x14ac:dyDescent="0.25">
      <c r="A230" s="1">
        <v>45585</v>
      </c>
      <c r="B230" t="s">
        <v>10</v>
      </c>
      <c r="C230" t="s">
        <v>11</v>
      </c>
      <c r="D230" t="s">
        <v>17</v>
      </c>
      <c r="E230">
        <v>13361</v>
      </c>
      <c r="F230">
        <v>381</v>
      </c>
      <c r="G230">
        <v>693.5</v>
      </c>
      <c r="H230">
        <v>28</v>
      </c>
      <c r="I230">
        <v>1639.91</v>
      </c>
      <c r="J230">
        <v>7.3499999999999996E-2</v>
      </c>
      <c r="K230" s="6">
        <f t="shared" si="3"/>
        <v>2.8515829653469051</v>
      </c>
    </row>
    <row r="231" spans="1:11" x14ac:dyDescent="0.25">
      <c r="A231" s="1">
        <v>45585</v>
      </c>
      <c r="B231" t="s">
        <v>10</v>
      </c>
      <c r="C231" t="s">
        <v>13</v>
      </c>
      <c r="D231" t="s">
        <v>12</v>
      </c>
      <c r="E231">
        <v>45921</v>
      </c>
      <c r="F231">
        <v>2412</v>
      </c>
      <c r="G231">
        <v>2775.63</v>
      </c>
      <c r="H231">
        <v>154</v>
      </c>
      <c r="I231">
        <v>3777.49</v>
      </c>
      <c r="J231">
        <v>6.3799999999999996E-2</v>
      </c>
      <c r="K231" s="6">
        <f t="shared" si="3"/>
        <v>5.2524988567322142</v>
      </c>
    </row>
    <row r="232" spans="1:11" x14ac:dyDescent="0.25">
      <c r="A232" s="1">
        <v>45585</v>
      </c>
      <c r="B232" t="s">
        <v>10</v>
      </c>
      <c r="C232" t="s">
        <v>15</v>
      </c>
      <c r="D232" t="s">
        <v>17</v>
      </c>
      <c r="E232">
        <v>7036</v>
      </c>
      <c r="F232">
        <v>161</v>
      </c>
      <c r="G232">
        <v>146.09</v>
      </c>
      <c r="H232">
        <v>2</v>
      </c>
      <c r="I232">
        <v>216.97</v>
      </c>
      <c r="J232">
        <v>1.24E-2</v>
      </c>
      <c r="K232" s="6">
        <f t="shared" si="3"/>
        <v>2.2882319499715744</v>
      </c>
    </row>
    <row r="233" spans="1:11" x14ac:dyDescent="0.25">
      <c r="A233" s="1">
        <v>45585</v>
      </c>
      <c r="B233" t="s">
        <v>16</v>
      </c>
      <c r="C233" t="s">
        <v>11</v>
      </c>
      <c r="D233" t="s">
        <v>18</v>
      </c>
      <c r="E233">
        <v>21904</v>
      </c>
      <c r="F233">
        <v>825</v>
      </c>
      <c r="G233">
        <v>1261.32</v>
      </c>
      <c r="H233">
        <v>53</v>
      </c>
      <c r="I233">
        <v>2280.4</v>
      </c>
      <c r="J233">
        <v>6.4199999999999993E-2</v>
      </c>
      <c r="K233" s="6">
        <f t="shared" si="3"/>
        <v>3.7664353542731921</v>
      </c>
    </row>
    <row r="234" spans="1:11" x14ac:dyDescent="0.25">
      <c r="A234" s="1">
        <v>45585</v>
      </c>
      <c r="B234" t="s">
        <v>16</v>
      </c>
      <c r="C234" t="s">
        <v>13</v>
      </c>
      <c r="D234" t="s">
        <v>19</v>
      </c>
      <c r="E234">
        <v>44357</v>
      </c>
      <c r="F234">
        <v>2738</v>
      </c>
      <c r="G234">
        <v>3430.29</v>
      </c>
      <c r="H234">
        <v>240</v>
      </c>
      <c r="I234">
        <v>9827.98</v>
      </c>
      <c r="J234">
        <v>8.77E-2</v>
      </c>
      <c r="K234" s="6">
        <f t="shared" si="3"/>
        <v>6.1726446784047617</v>
      </c>
    </row>
    <row r="235" spans="1:11" x14ac:dyDescent="0.25">
      <c r="A235" s="1">
        <v>45585</v>
      </c>
      <c r="B235" t="s">
        <v>16</v>
      </c>
      <c r="C235" t="s">
        <v>15</v>
      </c>
      <c r="D235" t="s">
        <v>17</v>
      </c>
      <c r="E235">
        <v>2550</v>
      </c>
      <c r="F235">
        <v>110</v>
      </c>
      <c r="G235">
        <v>322.48</v>
      </c>
      <c r="H235">
        <v>12</v>
      </c>
      <c r="I235">
        <v>830.76</v>
      </c>
      <c r="J235">
        <v>0.1091</v>
      </c>
      <c r="K235" s="6">
        <f t="shared" si="3"/>
        <v>4.3137254901960782</v>
      </c>
    </row>
    <row r="236" spans="1:11" x14ac:dyDescent="0.25">
      <c r="A236" s="1">
        <v>45585</v>
      </c>
      <c r="B236" t="s">
        <v>20</v>
      </c>
      <c r="C236" t="s">
        <v>11</v>
      </c>
      <c r="D236" t="s">
        <v>22</v>
      </c>
      <c r="E236">
        <v>29827</v>
      </c>
      <c r="F236">
        <v>457</v>
      </c>
      <c r="G236">
        <v>1114.8699999999999</v>
      </c>
      <c r="H236">
        <v>33</v>
      </c>
      <c r="I236">
        <v>2913.88</v>
      </c>
      <c r="J236">
        <v>7.22E-2</v>
      </c>
      <c r="K236" s="6">
        <f t="shared" si="3"/>
        <v>1.5321688403124687</v>
      </c>
    </row>
    <row r="237" spans="1:11" x14ac:dyDescent="0.25">
      <c r="A237" s="1">
        <v>45585</v>
      </c>
      <c r="B237" t="s">
        <v>20</v>
      </c>
      <c r="C237" t="s">
        <v>13</v>
      </c>
      <c r="D237" t="s">
        <v>22</v>
      </c>
      <c r="E237">
        <v>44023</v>
      </c>
      <c r="F237">
        <v>2084</v>
      </c>
      <c r="G237">
        <v>2467.8000000000002</v>
      </c>
      <c r="H237">
        <v>120</v>
      </c>
      <c r="I237">
        <v>9052.7099999999991</v>
      </c>
      <c r="J237">
        <v>5.7599999999999998E-2</v>
      </c>
      <c r="K237" s="6">
        <f t="shared" si="3"/>
        <v>4.73388910342321</v>
      </c>
    </row>
    <row r="238" spans="1:11" x14ac:dyDescent="0.25">
      <c r="A238" s="1">
        <v>45585</v>
      </c>
      <c r="B238" t="s">
        <v>20</v>
      </c>
      <c r="C238" t="s">
        <v>15</v>
      </c>
      <c r="D238" t="s">
        <v>21</v>
      </c>
      <c r="E238">
        <v>2929</v>
      </c>
      <c r="F238">
        <v>56</v>
      </c>
      <c r="G238">
        <v>307.49</v>
      </c>
      <c r="H238">
        <v>16</v>
      </c>
      <c r="I238">
        <v>973.95</v>
      </c>
      <c r="J238">
        <v>0.28570000000000001</v>
      </c>
      <c r="K238" s="6">
        <f t="shared" si="3"/>
        <v>1.9119153294639808</v>
      </c>
    </row>
    <row r="239" spans="1:11" x14ac:dyDescent="0.25">
      <c r="A239" s="1">
        <v>45585</v>
      </c>
      <c r="B239" t="s">
        <v>24</v>
      </c>
      <c r="C239" t="s">
        <v>11</v>
      </c>
      <c r="D239" t="s">
        <v>29</v>
      </c>
      <c r="E239">
        <v>18577</v>
      </c>
      <c r="F239">
        <v>566</v>
      </c>
      <c r="G239">
        <v>1144.8499999999999</v>
      </c>
      <c r="H239">
        <v>23</v>
      </c>
      <c r="I239">
        <v>5708.44</v>
      </c>
      <c r="J239">
        <v>4.0599999999999997E-2</v>
      </c>
      <c r="K239" s="6">
        <f t="shared" si="3"/>
        <v>3.0467782742100447</v>
      </c>
    </row>
    <row r="240" spans="1:11" x14ac:dyDescent="0.25">
      <c r="A240" s="1">
        <v>45585</v>
      </c>
      <c r="B240" t="s">
        <v>24</v>
      </c>
      <c r="C240" t="s">
        <v>13</v>
      </c>
      <c r="D240" t="s">
        <v>25</v>
      </c>
      <c r="E240">
        <v>67191</v>
      </c>
      <c r="F240">
        <v>1409</v>
      </c>
      <c r="G240">
        <v>1490.55</v>
      </c>
      <c r="H240">
        <v>58</v>
      </c>
      <c r="I240">
        <v>4349.07</v>
      </c>
      <c r="J240">
        <v>4.1200000000000001E-2</v>
      </c>
      <c r="K240" s="6">
        <f t="shared" si="3"/>
        <v>2.0970070396332843</v>
      </c>
    </row>
    <row r="241" spans="1:11" x14ac:dyDescent="0.25">
      <c r="A241" s="1">
        <v>45585</v>
      </c>
      <c r="B241" t="s">
        <v>24</v>
      </c>
      <c r="C241" t="s">
        <v>15</v>
      </c>
      <c r="D241" t="s">
        <v>30</v>
      </c>
      <c r="E241">
        <v>2719</v>
      </c>
      <c r="F241">
        <v>224</v>
      </c>
      <c r="G241">
        <v>388.65</v>
      </c>
      <c r="H241">
        <v>11</v>
      </c>
      <c r="I241">
        <v>1452.69</v>
      </c>
      <c r="J241">
        <v>4.9099999999999998E-2</v>
      </c>
      <c r="K241" s="6">
        <f t="shared" si="3"/>
        <v>8.238322912835601</v>
      </c>
    </row>
    <row r="242" spans="1:11" x14ac:dyDescent="0.25">
      <c r="A242" s="1">
        <v>45586</v>
      </c>
      <c r="B242" t="s">
        <v>10</v>
      </c>
      <c r="C242" t="s">
        <v>11</v>
      </c>
      <c r="D242" t="s">
        <v>14</v>
      </c>
      <c r="E242">
        <v>28022</v>
      </c>
      <c r="F242">
        <v>855</v>
      </c>
      <c r="G242">
        <v>648.42999999999995</v>
      </c>
      <c r="H242">
        <v>29</v>
      </c>
      <c r="I242">
        <v>2875.9</v>
      </c>
      <c r="J242">
        <v>3.39E-2</v>
      </c>
      <c r="K242" s="6">
        <f t="shared" si="3"/>
        <v>3.0511740775105274</v>
      </c>
    </row>
    <row r="243" spans="1:11" x14ac:dyDescent="0.25">
      <c r="A243" s="1">
        <v>45586</v>
      </c>
      <c r="B243" t="s">
        <v>10</v>
      </c>
      <c r="C243" t="s">
        <v>13</v>
      </c>
      <c r="D243" t="s">
        <v>27</v>
      </c>
      <c r="E243">
        <v>58690</v>
      </c>
      <c r="F243">
        <v>2041</v>
      </c>
      <c r="G243">
        <v>1896.97</v>
      </c>
      <c r="H243">
        <v>91</v>
      </c>
      <c r="I243">
        <v>7985.96</v>
      </c>
      <c r="J243">
        <v>4.4600000000000001E-2</v>
      </c>
      <c r="K243" s="6">
        <f t="shared" si="3"/>
        <v>3.4775941386948372</v>
      </c>
    </row>
    <row r="244" spans="1:11" x14ac:dyDescent="0.25">
      <c r="A244" s="1">
        <v>45586</v>
      </c>
      <c r="B244" t="s">
        <v>10</v>
      </c>
      <c r="C244" t="s">
        <v>15</v>
      </c>
      <c r="D244" t="s">
        <v>27</v>
      </c>
      <c r="E244">
        <v>6047</v>
      </c>
      <c r="F244">
        <v>56</v>
      </c>
      <c r="G244">
        <v>176.31</v>
      </c>
      <c r="H244">
        <v>19</v>
      </c>
      <c r="I244">
        <v>458.73</v>
      </c>
      <c r="J244">
        <v>0.33929999999999999</v>
      </c>
      <c r="K244" s="6">
        <f t="shared" si="3"/>
        <v>0.92607904746155112</v>
      </c>
    </row>
    <row r="245" spans="1:11" x14ac:dyDescent="0.25">
      <c r="A245" s="1">
        <v>45586</v>
      </c>
      <c r="B245" t="s">
        <v>16</v>
      </c>
      <c r="C245" t="s">
        <v>11</v>
      </c>
      <c r="D245" t="s">
        <v>17</v>
      </c>
      <c r="E245">
        <v>12825</v>
      </c>
      <c r="F245">
        <v>367</v>
      </c>
      <c r="G245">
        <v>671.15</v>
      </c>
      <c r="H245">
        <v>55</v>
      </c>
      <c r="I245">
        <v>2638.76</v>
      </c>
      <c r="J245">
        <v>0.14990000000000001</v>
      </c>
      <c r="K245" s="6">
        <f t="shared" si="3"/>
        <v>2.861598440545809</v>
      </c>
    </row>
    <row r="246" spans="1:11" x14ac:dyDescent="0.25">
      <c r="A246" s="1">
        <v>45586</v>
      </c>
      <c r="B246" t="s">
        <v>16</v>
      </c>
      <c r="C246" t="s">
        <v>13</v>
      </c>
      <c r="D246" t="s">
        <v>18</v>
      </c>
      <c r="E246">
        <v>61832</v>
      </c>
      <c r="F246">
        <v>2686</v>
      </c>
      <c r="G246">
        <v>3299.6</v>
      </c>
      <c r="H246">
        <v>72</v>
      </c>
      <c r="I246">
        <v>16151.68</v>
      </c>
      <c r="J246">
        <v>2.6800000000000001E-2</v>
      </c>
      <c r="K246" s="6">
        <f t="shared" si="3"/>
        <v>4.3440289817570195</v>
      </c>
    </row>
    <row r="247" spans="1:11" x14ac:dyDescent="0.25">
      <c r="A247" s="1">
        <v>45586</v>
      </c>
      <c r="B247" t="s">
        <v>16</v>
      </c>
      <c r="C247" t="s">
        <v>15</v>
      </c>
      <c r="D247" t="s">
        <v>19</v>
      </c>
      <c r="E247">
        <v>5686</v>
      </c>
      <c r="F247">
        <v>169</v>
      </c>
      <c r="G247">
        <v>288.04000000000002</v>
      </c>
      <c r="H247">
        <v>12</v>
      </c>
      <c r="I247">
        <v>486.12</v>
      </c>
      <c r="J247">
        <v>7.0999999999999994E-2</v>
      </c>
      <c r="K247" s="6">
        <f t="shared" si="3"/>
        <v>2.9722124516355959</v>
      </c>
    </row>
    <row r="248" spans="1:11" x14ac:dyDescent="0.25">
      <c r="A248" s="1">
        <v>45586</v>
      </c>
      <c r="B248" t="s">
        <v>20</v>
      </c>
      <c r="C248" t="s">
        <v>11</v>
      </c>
      <c r="D248" t="s">
        <v>21</v>
      </c>
      <c r="E248">
        <v>14228</v>
      </c>
      <c r="F248">
        <v>743</v>
      </c>
      <c r="G248">
        <v>903.44</v>
      </c>
      <c r="H248">
        <v>13</v>
      </c>
      <c r="I248">
        <v>3938.35</v>
      </c>
      <c r="J248">
        <v>1.7500000000000002E-2</v>
      </c>
      <c r="K248" s="6">
        <f t="shared" si="3"/>
        <v>5.2220972729828503</v>
      </c>
    </row>
    <row r="249" spans="1:11" x14ac:dyDescent="0.25">
      <c r="A249" s="1">
        <v>45586</v>
      </c>
      <c r="B249" t="s">
        <v>20</v>
      </c>
      <c r="C249" t="s">
        <v>13</v>
      </c>
      <c r="D249" t="s">
        <v>21</v>
      </c>
      <c r="E249">
        <v>54931</v>
      </c>
      <c r="F249">
        <v>1337</v>
      </c>
      <c r="G249">
        <v>1647.87</v>
      </c>
      <c r="H249">
        <v>221</v>
      </c>
      <c r="I249">
        <v>3389.32</v>
      </c>
      <c r="J249">
        <v>0.1653</v>
      </c>
      <c r="K249" s="6">
        <f t="shared" si="3"/>
        <v>2.4339626076350331</v>
      </c>
    </row>
    <row r="250" spans="1:11" x14ac:dyDescent="0.25">
      <c r="A250" s="1">
        <v>45586</v>
      </c>
      <c r="B250" t="s">
        <v>20</v>
      </c>
      <c r="C250" t="s">
        <v>15</v>
      </c>
      <c r="D250" t="s">
        <v>23</v>
      </c>
      <c r="E250">
        <v>2646</v>
      </c>
      <c r="F250">
        <v>114</v>
      </c>
      <c r="G250">
        <v>118.71</v>
      </c>
      <c r="H250">
        <v>18</v>
      </c>
      <c r="I250">
        <v>266.26</v>
      </c>
      <c r="J250">
        <v>0.15790000000000001</v>
      </c>
      <c r="K250" s="6">
        <f t="shared" si="3"/>
        <v>4.308390022675737</v>
      </c>
    </row>
    <row r="251" spans="1:11" x14ac:dyDescent="0.25">
      <c r="A251" s="1">
        <v>45586</v>
      </c>
      <c r="B251" t="s">
        <v>24</v>
      </c>
      <c r="C251" t="s">
        <v>11</v>
      </c>
      <c r="D251" t="s">
        <v>25</v>
      </c>
      <c r="E251">
        <v>27481</v>
      </c>
      <c r="F251">
        <v>395</v>
      </c>
      <c r="G251">
        <v>903.09</v>
      </c>
      <c r="H251">
        <v>20</v>
      </c>
      <c r="I251">
        <v>3114.64</v>
      </c>
      <c r="J251">
        <v>5.0599999999999999E-2</v>
      </c>
      <c r="K251" s="6">
        <f t="shared" si="3"/>
        <v>1.4373567191878025</v>
      </c>
    </row>
    <row r="252" spans="1:11" x14ac:dyDescent="0.25">
      <c r="A252" s="1">
        <v>45586</v>
      </c>
      <c r="B252" t="s">
        <v>24</v>
      </c>
      <c r="C252" t="s">
        <v>13</v>
      </c>
      <c r="D252" t="s">
        <v>26</v>
      </c>
      <c r="E252">
        <v>46219</v>
      </c>
      <c r="F252">
        <v>2349</v>
      </c>
      <c r="G252">
        <v>3497.92</v>
      </c>
      <c r="H252">
        <v>194</v>
      </c>
      <c r="I252">
        <v>8685.18</v>
      </c>
      <c r="J252">
        <v>8.2600000000000007E-2</v>
      </c>
      <c r="K252" s="6">
        <f t="shared" si="3"/>
        <v>5.0823254505722755</v>
      </c>
    </row>
    <row r="253" spans="1:11" x14ac:dyDescent="0.25">
      <c r="A253" s="1">
        <v>45586</v>
      </c>
      <c r="B253" t="s">
        <v>24</v>
      </c>
      <c r="C253" t="s">
        <v>15</v>
      </c>
      <c r="D253" t="s">
        <v>29</v>
      </c>
      <c r="E253">
        <v>2232</v>
      </c>
      <c r="F253">
        <v>70</v>
      </c>
      <c r="G253">
        <v>65.91</v>
      </c>
      <c r="H253">
        <v>19</v>
      </c>
      <c r="I253">
        <v>145.38</v>
      </c>
      <c r="J253">
        <v>0.27139999999999997</v>
      </c>
      <c r="K253" s="6">
        <f t="shared" si="3"/>
        <v>3.1362007168458779</v>
      </c>
    </row>
    <row r="254" spans="1:11" x14ac:dyDescent="0.25">
      <c r="A254" s="1">
        <v>45587</v>
      </c>
      <c r="B254" t="s">
        <v>10</v>
      </c>
      <c r="C254" t="s">
        <v>11</v>
      </c>
      <c r="D254" t="s">
        <v>27</v>
      </c>
      <c r="E254">
        <v>28747</v>
      </c>
      <c r="F254">
        <v>726</v>
      </c>
      <c r="G254">
        <v>1041.73</v>
      </c>
      <c r="H254">
        <v>11</v>
      </c>
      <c r="I254">
        <v>3221.6</v>
      </c>
      <c r="J254">
        <v>1.52E-2</v>
      </c>
      <c r="K254" s="6">
        <f t="shared" si="3"/>
        <v>2.5254809197481474</v>
      </c>
    </row>
    <row r="255" spans="1:11" x14ac:dyDescent="0.25">
      <c r="A255" s="1">
        <v>45587</v>
      </c>
      <c r="B255" t="s">
        <v>10</v>
      </c>
      <c r="C255" t="s">
        <v>13</v>
      </c>
      <c r="D255" t="s">
        <v>17</v>
      </c>
      <c r="E255">
        <v>54798</v>
      </c>
      <c r="F255">
        <v>1989</v>
      </c>
      <c r="G255">
        <v>1979.51</v>
      </c>
      <c r="H255">
        <v>246</v>
      </c>
      <c r="I255">
        <v>7528.01</v>
      </c>
      <c r="J255">
        <v>0.1237</v>
      </c>
      <c r="K255" s="6">
        <f t="shared" si="3"/>
        <v>3.6296945143983357</v>
      </c>
    </row>
    <row r="256" spans="1:11" x14ac:dyDescent="0.25">
      <c r="A256" s="1">
        <v>45587</v>
      </c>
      <c r="B256" t="s">
        <v>10</v>
      </c>
      <c r="C256" t="s">
        <v>15</v>
      </c>
      <c r="D256" t="s">
        <v>17</v>
      </c>
      <c r="E256">
        <v>5715</v>
      </c>
      <c r="F256">
        <v>68</v>
      </c>
      <c r="G256">
        <v>291.01</v>
      </c>
      <c r="H256">
        <v>6</v>
      </c>
      <c r="I256">
        <v>835.34</v>
      </c>
      <c r="J256">
        <v>8.8200000000000001E-2</v>
      </c>
      <c r="K256" s="6">
        <f t="shared" si="3"/>
        <v>1.1898512685914262</v>
      </c>
    </row>
    <row r="257" spans="1:11" x14ac:dyDescent="0.25">
      <c r="A257" s="1">
        <v>45587</v>
      </c>
      <c r="B257" t="s">
        <v>16</v>
      </c>
      <c r="C257" t="s">
        <v>11</v>
      </c>
      <c r="D257" t="s">
        <v>18</v>
      </c>
      <c r="E257">
        <v>25218</v>
      </c>
      <c r="F257">
        <v>508</v>
      </c>
      <c r="G257">
        <v>708.23</v>
      </c>
      <c r="H257">
        <v>19</v>
      </c>
      <c r="I257">
        <v>1691.12</v>
      </c>
      <c r="J257">
        <v>3.7400000000000003E-2</v>
      </c>
      <c r="K257" s="6">
        <f t="shared" si="3"/>
        <v>2.0144341343484813</v>
      </c>
    </row>
    <row r="258" spans="1:11" x14ac:dyDescent="0.25">
      <c r="A258" s="1">
        <v>45587</v>
      </c>
      <c r="B258" t="s">
        <v>16</v>
      </c>
      <c r="C258" t="s">
        <v>13</v>
      </c>
      <c r="D258" t="s">
        <v>28</v>
      </c>
      <c r="E258">
        <v>57634</v>
      </c>
      <c r="F258">
        <v>2997</v>
      </c>
      <c r="G258">
        <v>2594.87</v>
      </c>
      <c r="H258">
        <v>234</v>
      </c>
      <c r="I258">
        <v>6767.56</v>
      </c>
      <c r="J258">
        <v>7.8100000000000003E-2</v>
      </c>
      <c r="K258" s="6">
        <f t="shared" si="3"/>
        <v>5.2000555227816916</v>
      </c>
    </row>
    <row r="259" spans="1:11" x14ac:dyDescent="0.25">
      <c r="A259" s="1">
        <v>45587</v>
      </c>
      <c r="B259" t="s">
        <v>16</v>
      </c>
      <c r="C259" t="s">
        <v>15</v>
      </c>
      <c r="D259" t="s">
        <v>19</v>
      </c>
      <c r="E259">
        <v>4614</v>
      </c>
      <c r="F259">
        <v>111</v>
      </c>
      <c r="G259">
        <v>213.27</v>
      </c>
      <c r="H259">
        <v>9</v>
      </c>
      <c r="I259">
        <v>620.29</v>
      </c>
      <c r="J259">
        <v>8.1100000000000005E-2</v>
      </c>
      <c r="K259" s="6">
        <f t="shared" ref="K259:K322" si="4">(F259/E259) *100</f>
        <v>2.4057217165149547</v>
      </c>
    </row>
    <row r="260" spans="1:11" x14ac:dyDescent="0.25">
      <c r="A260" s="1">
        <v>45587</v>
      </c>
      <c r="B260" t="s">
        <v>20</v>
      </c>
      <c r="C260" t="s">
        <v>11</v>
      </c>
      <c r="D260" t="s">
        <v>21</v>
      </c>
      <c r="E260">
        <v>13172</v>
      </c>
      <c r="F260">
        <v>351</v>
      </c>
      <c r="G260">
        <v>648.25</v>
      </c>
      <c r="H260">
        <v>34</v>
      </c>
      <c r="I260">
        <v>2906.64</v>
      </c>
      <c r="J260">
        <v>9.69E-2</v>
      </c>
      <c r="K260" s="6">
        <f t="shared" si="4"/>
        <v>2.6647433950804738</v>
      </c>
    </row>
    <row r="261" spans="1:11" x14ac:dyDescent="0.25">
      <c r="A261" s="1">
        <v>45587</v>
      </c>
      <c r="B261" t="s">
        <v>20</v>
      </c>
      <c r="C261" t="s">
        <v>13</v>
      </c>
      <c r="D261" t="s">
        <v>27</v>
      </c>
      <c r="E261">
        <v>51270</v>
      </c>
      <c r="F261">
        <v>2971</v>
      </c>
      <c r="G261">
        <v>4461.2299999999996</v>
      </c>
      <c r="H261">
        <v>80</v>
      </c>
      <c r="I261">
        <v>19144.099999999999</v>
      </c>
      <c r="J261">
        <v>2.69E-2</v>
      </c>
      <c r="K261" s="6">
        <f t="shared" si="4"/>
        <v>5.7948117807684811</v>
      </c>
    </row>
    <row r="262" spans="1:11" x14ac:dyDescent="0.25">
      <c r="A262" s="1">
        <v>45587</v>
      </c>
      <c r="B262" t="s">
        <v>20</v>
      </c>
      <c r="C262" t="s">
        <v>15</v>
      </c>
      <c r="D262" t="s">
        <v>23</v>
      </c>
      <c r="E262">
        <v>3555</v>
      </c>
      <c r="F262">
        <v>245</v>
      </c>
      <c r="G262">
        <v>105.77</v>
      </c>
      <c r="H262">
        <v>17</v>
      </c>
      <c r="I262">
        <v>314.55</v>
      </c>
      <c r="J262">
        <v>6.9400000000000003E-2</v>
      </c>
      <c r="K262" s="6">
        <f t="shared" si="4"/>
        <v>6.8917018284106888</v>
      </c>
    </row>
    <row r="263" spans="1:11" x14ac:dyDescent="0.25">
      <c r="A263" s="1">
        <v>45587</v>
      </c>
      <c r="B263" t="s">
        <v>24</v>
      </c>
      <c r="C263" t="s">
        <v>11</v>
      </c>
      <c r="D263" t="s">
        <v>25</v>
      </c>
      <c r="E263">
        <v>26297</v>
      </c>
      <c r="F263">
        <v>323</v>
      </c>
      <c r="G263">
        <v>408.06</v>
      </c>
      <c r="H263">
        <v>35</v>
      </c>
      <c r="I263">
        <v>1273.43</v>
      </c>
      <c r="J263">
        <v>0.1084</v>
      </c>
      <c r="K263" s="6">
        <f t="shared" si="4"/>
        <v>1.2282769897706962</v>
      </c>
    </row>
    <row r="264" spans="1:11" x14ac:dyDescent="0.25">
      <c r="A264" s="1">
        <v>45587</v>
      </c>
      <c r="B264" t="s">
        <v>24</v>
      </c>
      <c r="C264" t="s">
        <v>13</v>
      </c>
      <c r="D264" t="s">
        <v>26</v>
      </c>
      <c r="E264">
        <v>49099</v>
      </c>
      <c r="F264">
        <v>2194</v>
      </c>
      <c r="G264">
        <v>2411.58</v>
      </c>
      <c r="H264">
        <v>52</v>
      </c>
      <c r="I264">
        <v>5472.25</v>
      </c>
      <c r="J264">
        <v>2.3699999999999999E-2</v>
      </c>
      <c r="K264" s="6">
        <f t="shared" si="4"/>
        <v>4.4685227805046948</v>
      </c>
    </row>
    <row r="265" spans="1:11" x14ac:dyDescent="0.25">
      <c r="A265" s="1">
        <v>45587</v>
      </c>
      <c r="B265" t="s">
        <v>24</v>
      </c>
      <c r="C265" t="s">
        <v>15</v>
      </c>
      <c r="D265" t="s">
        <v>30</v>
      </c>
      <c r="E265">
        <v>4340</v>
      </c>
      <c r="F265">
        <v>187</v>
      </c>
      <c r="G265">
        <v>52.86</v>
      </c>
      <c r="H265">
        <v>4</v>
      </c>
      <c r="I265">
        <v>149.99</v>
      </c>
      <c r="J265">
        <v>2.1399999999999999E-2</v>
      </c>
      <c r="K265" s="6">
        <f t="shared" si="4"/>
        <v>4.3087557603686637</v>
      </c>
    </row>
    <row r="266" spans="1:11" x14ac:dyDescent="0.25">
      <c r="A266" s="1">
        <v>45588</v>
      </c>
      <c r="B266" t="s">
        <v>10</v>
      </c>
      <c r="C266" t="s">
        <v>11</v>
      </c>
      <c r="D266" t="s">
        <v>17</v>
      </c>
      <c r="E266">
        <v>21985</v>
      </c>
      <c r="F266">
        <v>712</v>
      </c>
      <c r="G266">
        <v>739.12</v>
      </c>
      <c r="H266">
        <v>35</v>
      </c>
      <c r="I266">
        <v>1030.6300000000001</v>
      </c>
      <c r="J266">
        <v>4.9200000000000001E-2</v>
      </c>
      <c r="K266" s="6">
        <f t="shared" si="4"/>
        <v>3.2385717534682739</v>
      </c>
    </row>
    <row r="267" spans="1:11" x14ac:dyDescent="0.25">
      <c r="A267" s="1">
        <v>45588</v>
      </c>
      <c r="B267" t="s">
        <v>10</v>
      </c>
      <c r="C267" t="s">
        <v>13</v>
      </c>
      <c r="D267" t="s">
        <v>27</v>
      </c>
      <c r="E267">
        <v>58758</v>
      </c>
      <c r="F267">
        <v>2133</v>
      </c>
      <c r="G267">
        <v>2154.41</v>
      </c>
      <c r="H267">
        <v>138</v>
      </c>
      <c r="I267">
        <v>6713.51</v>
      </c>
      <c r="J267">
        <v>6.4699999999999994E-2</v>
      </c>
      <c r="K267" s="6">
        <f t="shared" si="4"/>
        <v>3.6301439803941591</v>
      </c>
    </row>
    <row r="268" spans="1:11" x14ac:dyDescent="0.25">
      <c r="A268" s="1">
        <v>45588</v>
      </c>
      <c r="B268" t="s">
        <v>10</v>
      </c>
      <c r="C268" t="s">
        <v>15</v>
      </c>
      <c r="D268" t="s">
        <v>17</v>
      </c>
      <c r="E268">
        <v>7105</v>
      </c>
      <c r="F268">
        <v>224</v>
      </c>
      <c r="G268">
        <v>263.87</v>
      </c>
      <c r="H268">
        <v>5</v>
      </c>
      <c r="I268">
        <v>1294.3699999999999</v>
      </c>
      <c r="J268">
        <v>2.23E-2</v>
      </c>
      <c r="K268" s="6">
        <f t="shared" si="4"/>
        <v>3.152709359605911</v>
      </c>
    </row>
    <row r="269" spans="1:11" x14ac:dyDescent="0.25">
      <c r="A269" s="1">
        <v>45588</v>
      </c>
      <c r="B269" t="s">
        <v>16</v>
      </c>
      <c r="C269" t="s">
        <v>11</v>
      </c>
      <c r="D269" t="s">
        <v>18</v>
      </c>
      <c r="E269">
        <v>22228</v>
      </c>
      <c r="F269">
        <v>647</v>
      </c>
      <c r="G269">
        <v>969.4</v>
      </c>
      <c r="H269">
        <v>33</v>
      </c>
      <c r="I269">
        <v>3944.36</v>
      </c>
      <c r="J269">
        <v>5.0999999999999997E-2</v>
      </c>
      <c r="K269" s="6">
        <f t="shared" si="4"/>
        <v>2.9107432067662411</v>
      </c>
    </row>
    <row r="270" spans="1:11" x14ac:dyDescent="0.25">
      <c r="A270" s="1">
        <v>45588</v>
      </c>
      <c r="B270" t="s">
        <v>16</v>
      </c>
      <c r="C270" t="s">
        <v>13</v>
      </c>
      <c r="D270" t="s">
        <v>17</v>
      </c>
      <c r="E270">
        <v>68365</v>
      </c>
      <c r="F270">
        <v>1822</v>
      </c>
      <c r="G270">
        <v>3000.31</v>
      </c>
      <c r="H270">
        <v>51</v>
      </c>
      <c r="I270">
        <v>4044.04</v>
      </c>
      <c r="J270">
        <v>2.8000000000000001E-2</v>
      </c>
      <c r="K270" s="6">
        <f t="shared" si="4"/>
        <v>2.6651064141007828</v>
      </c>
    </row>
    <row r="271" spans="1:11" x14ac:dyDescent="0.25">
      <c r="A271" s="1">
        <v>45588</v>
      </c>
      <c r="B271" t="s">
        <v>16</v>
      </c>
      <c r="C271" t="s">
        <v>15</v>
      </c>
      <c r="D271" t="s">
        <v>28</v>
      </c>
      <c r="E271">
        <v>5880</v>
      </c>
      <c r="F271">
        <v>182</v>
      </c>
      <c r="G271">
        <v>209.95</v>
      </c>
      <c r="H271">
        <v>20</v>
      </c>
      <c r="I271">
        <v>964.49</v>
      </c>
      <c r="J271">
        <v>0.1099</v>
      </c>
      <c r="K271" s="6">
        <f t="shared" si="4"/>
        <v>3.0952380952380953</v>
      </c>
    </row>
    <row r="272" spans="1:11" x14ac:dyDescent="0.25">
      <c r="A272" s="1">
        <v>45588</v>
      </c>
      <c r="B272" t="s">
        <v>20</v>
      </c>
      <c r="C272" t="s">
        <v>11</v>
      </c>
      <c r="D272" t="s">
        <v>21</v>
      </c>
      <c r="E272">
        <v>20746</v>
      </c>
      <c r="F272">
        <v>626</v>
      </c>
      <c r="G272">
        <v>495</v>
      </c>
      <c r="H272">
        <v>49</v>
      </c>
      <c r="I272">
        <v>1984.66</v>
      </c>
      <c r="J272">
        <v>7.8299999999999995E-2</v>
      </c>
      <c r="K272" s="6">
        <f t="shared" si="4"/>
        <v>3.0174491468234841</v>
      </c>
    </row>
    <row r="273" spans="1:11" x14ac:dyDescent="0.25">
      <c r="A273" s="1">
        <v>45588</v>
      </c>
      <c r="B273" t="s">
        <v>20</v>
      </c>
      <c r="C273" t="s">
        <v>13</v>
      </c>
      <c r="D273" t="s">
        <v>23</v>
      </c>
      <c r="E273">
        <v>57044</v>
      </c>
      <c r="F273">
        <v>2038</v>
      </c>
      <c r="G273">
        <v>4313.16</v>
      </c>
      <c r="H273">
        <v>176</v>
      </c>
      <c r="I273">
        <v>13204.38</v>
      </c>
      <c r="J273">
        <v>8.6400000000000005E-2</v>
      </c>
      <c r="K273" s="6">
        <f t="shared" si="4"/>
        <v>3.5726807376761793</v>
      </c>
    </row>
    <row r="274" spans="1:11" x14ac:dyDescent="0.25">
      <c r="A274" s="1">
        <v>45588</v>
      </c>
      <c r="B274" t="s">
        <v>20</v>
      </c>
      <c r="C274" t="s">
        <v>15</v>
      </c>
      <c r="D274" t="s">
        <v>23</v>
      </c>
      <c r="E274">
        <v>5890</v>
      </c>
      <c r="F274">
        <v>54</v>
      </c>
      <c r="G274">
        <v>178.93</v>
      </c>
      <c r="H274">
        <v>4</v>
      </c>
      <c r="I274">
        <v>880.98</v>
      </c>
      <c r="J274">
        <v>7.4099999999999999E-2</v>
      </c>
      <c r="K274" s="6">
        <f t="shared" si="4"/>
        <v>0.91680814940577249</v>
      </c>
    </row>
    <row r="275" spans="1:11" x14ac:dyDescent="0.25">
      <c r="A275" s="1">
        <v>45588</v>
      </c>
      <c r="B275" t="s">
        <v>24</v>
      </c>
      <c r="C275" t="s">
        <v>11</v>
      </c>
      <c r="D275" t="s">
        <v>25</v>
      </c>
      <c r="E275">
        <v>10873</v>
      </c>
      <c r="F275">
        <v>785</v>
      </c>
      <c r="G275">
        <v>618.64</v>
      </c>
      <c r="H275">
        <v>51</v>
      </c>
      <c r="I275">
        <v>2582.84</v>
      </c>
      <c r="J275">
        <v>6.5000000000000002E-2</v>
      </c>
      <c r="K275" s="6">
        <f t="shared" si="4"/>
        <v>7.2197185689322181</v>
      </c>
    </row>
    <row r="276" spans="1:11" x14ac:dyDescent="0.25">
      <c r="A276" s="1">
        <v>45588</v>
      </c>
      <c r="B276" t="s">
        <v>24</v>
      </c>
      <c r="C276" t="s">
        <v>13</v>
      </c>
      <c r="D276" t="s">
        <v>26</v>
      </c>
      <c r="E276">
        <v>38365</v>
      </c>
      <c r="F276">
        <v>2195</v>
      </c>
      <c r="G276">
        <v>2921.8</v>
      </c>
      <c r="H276">
        <v>174</v>
      </c>
      <c r="I276">
        <v>10490.13</v>
      </c>
      <c r="J276">
        <v>7.9299999999999995E-2</v>
      </c>
      <c r="K276" s="6">
        <f t="shared" si="4"/>
        <v>5.721360615144012</v>
      </c>
    </row>
    <row r="277" spans="1:11" x14ac:dyDescent="0.25">
      <c r="A277" s="1">
        <v>45588</v>
      </c>
      <c r="B277" t="s">
        <v>24</v>
      </c>
      <c r="C277" t="s">
        <v>15</v>
      </c>
      <c r="D277" t="s">
        <v>30</v>
      </c>
      <c r="E277">
        <v>3210</v>
      </c>
      <c r="F277">
        <v>224</v>
      </c>
      <c r="G277">
        <v>134.77000000000001</v>
      </c>
      <c r="H277">
        <v>19</v>
      </c>
      <c r="I277">
        <v>647.32000000000005</v>
      </c>
      <c r="J277">
        <v>8.48E-2</v>
      </c>
      <c r="K277" s="6">
        <f t="shared" si="4"/>
        <v>6.9781931464174454</v>
      </c>
    </row>
    <row r="278" spans="1:11" x14ac:dyDescent="0.25">
      <c r="A278" s="1">
        <v>45589</v>
      </c>
      <c r="B278" t="s">
        <v>10</v>
      </c>
      <c r="C278" t="s">
        <v>11</v>
      </c>
      <c r="D278" t="s">
        <v>14</v>
      </c>
      <c r="E278">
        <v>16251</v>
      </c>
      <c r="F278">
        <v>319</v>
      </c>
      <c r="G278">
        <v>829.25</v>
      </c>
      <c r="H278">
        <v>36</v>
      </c>
      <c r="I278">
        <v>1472.28</v>
      </c>
      <c r="J278">
        <v>0.1129</v>
      </c>
      <c r="K278" s="6">
        <f t="shared" si="4"/>
        <v>1.9629561257768751</v>
      </c>
    </row>
    <row r="279" spans="1:11" x14ac:dyDescent="0.25">
      <c r="A279" s="1">
        <v>45589</v>
      </c>
      <c r="B279" t="s">
        <v>10</v>
      </c>
      <c r="C279" t="s">
        <v>13</v>
      </c>
      <c r="D279" t="s">
        <v>27</v>
      </c>
      <c r="E279">
        <v>61894</v>
      </c>
      <c r="F279">
        <v>2027</v>
      </c>
      <c r="G279">
        <v>4099.8900000000003</v>
      </c>
      <c r="H279">
        <v>160</v>
      </c>
      <c r="I279">
        <v>18518</v>
      </c>
      <c r="J279">
        <v>7.8899999999999998E-2</v>
      </c>
      <c r="K279" s="6">
        <f t="shared" si="4"/>
        <v>3.2749539535334602</v>
      </c>
    </row>
    <row r="280" spans="1:11" x14ac:dyDescent="0.25">
      <c r="A280" s="1">
        <v>45589</v>
      </c>
      <c r="B280" t="s">
        <v>10</v>
      </c>
      <c r="C280" t="s">
        <v>15</v>
      </c>
      <c r="D280" t="s">
        <v>14</v>
      </c>
      <c r="E280">
        <v>7781</v>
      </c>
      <c r="F280">
        <v>85</v>
      </c>
      <c r="G280">
        <v>231.54</v>
      </c>
      <c r="H280">
        <v>18</v>
      </c>
      <c r="I280">
        <v>563.84</v>
      </c>
      <c r="J280">
        <v>0.21179999999999999</v>
      </c>
      <c r="K280" s="6">
        <f t="shared" si="4"/>
        <v>1.0924045752473976</v>
      </c>
    </row>
    <row r="281" spans="1:11" x14ac:dyDescent="0.25">
      <c r="A281" s="1">
        <v>45589</v>
      </c>
      <c r="B281" t="s">
        <v>16</v>
      </c>
      <c r="C281" t="s">
        <v>11</v>
      </c>
      <c r="D281" t="s">
        <v>18</v>
      </c>
      <c r="E281">
        <v>27218</v>
      </c>
      <c r="F281">
        <v>685</v>
      </c>
      <c r="G281">
        <v>676.5</v>
      </c>
      <c r="H281">
        <v>21</v>
      </c>
      <c r="I281">
        <v>1993.46</v>
      </c>
      <c r="J281">
        <v>3.0700000000000002E-2</v>
      </c>
      <c r="K281" s="6">
        <f t="shared" si="4"/>
        <v>2.516716878536263</v>
      </c>
    </row>
    <row r="282" spans="1:11" x14ac:dyDescent="0.25">
      <c r="A282" s="1">
        <v>45589</v>
      </c>
      <c r="B282" t="s">
        <v>16</v>
      </c>
      <c r="C282" t="s">
        <v>13</v>
      </c>
      <c r="D282" t="s">
        <v>28</v>
      </c>
      <c r="E282">
        <v>58218</v>
      </c>
      <c r="F282">
        <v>2384</v>
      </c>
      <c r="G282">
        <v>4087.96</v>
      </c>
      <c r="H282">
        <v>224</v>
      </c>
      <c r="I282">
        <v>15480.43</v>
      </c>
      <c r="J282">
        <v>9.4E-2</v>
      </c>
      <c r="K282" s="6">
        <f t="shared" si="4"/>
        <v>4.0949534508227696</v>
      </c>
    </row>
    <row r="283" spans="1:11" x14ac:dyDescent="0.25">
      <c r="A283" s="1">
        <v>45589</v>
      </c>
      <c r="B283" t="s">
        <v>16</v>
      </c>
      <c r="C283" t="s">
        <v>15</v>
      </c>
      <c r="D283" t="s">
        <v>28</v>
      </c>
      <c r="E283">
        <v>6997</v>
      </c>
      <c r="F283">
        <v>173</v>
      </c>
      <c r="G283">
        <v>117.29</v>
      </c>
      <c r="H283">
        <v>8</v>
      </c>
      <c r="I283">
        <v>265.10000000000002</v>
      </c>
      <c r="J283">
        <v>4.6199999999999998E-2</v>
      </c>
      <c r="K283" s="6">
        <f t="shared" si="4"/>
        <v>2.4724882092325284</v>
      </c>
    </row>
    <row r="284" spans="1:11" x14ac:dyDescent="0.25">
      <c r="A284" s="1">
        <v>45589</v>
      </c>
      <c r="B284" t="s">
        <v>20</v>
      </c>
      <c r="C284" t="s">
        <v>11</v>
      </c>
      <c r="D284" t="s">
        <v>23</v>
      </c>
      <c r="E284">
        <v>17368</v>
      </c>
      <c r="F284">
        <v>604</v>
      </c>
      <c r="G284">
        <v>1225.4100000000001</v>
      </c>
      <c r="H284">
        <v>55</v>
      </c>
      <c r="I284">
        <v>2435.69</v>
      </c>
      <c r="J284">
        <v>9.11E-2</v>
      </c>
      <c r="K284" s="6">
        <f t="shared" si="4"/>
        <v>3.477660064486412</v>
      </c>
    </row>
    <row r="285" spans="1:11" x14ac:dyDescent="0.25">
      <c r="A285" s="1">
        <v>45589</v>
      </c>
      <c r="B285" t="s">
        <v>20</v>
      </c>
      <c r="C285" t="s">
        <v>13</v>
      </c>
      <c r="D285" t="s">
        <v>27</v>
      </c>
      <c r="E285">
        <v>55777</v>
      </c>
      <c r="F285">
        <v>1982</v>
      </c>
      <c r="G285">
        <v>2395.21</v>
      </c>
      <c r="H285">
        <v>243</v>
      </c>
      <c r="I285">
        <v>9442.7000000000007</v>
      </c>
      <c r="J285">
        <v>0.1226</v>
      </c>
      <c r="K285" s="6">
        <f t="shared" si="4"/>
        <v>3.5534360040877067</v>
      </c>
    </row>
    <row r="286" spans="1:11" x14ac:dyDescent="0.25">
      <c r="A286" s="1">
        <v>45589</v>
      </c>
      <c r="B286" t="s">
        <v>20</v>
      </c>
      <c r="C286" t="s">
        <v>15</v>
      </c>
      <c r="D286" t="s">
        <v>23</v>
      </c>
      <c r="E286">
        <v>2998</v>
      </c>
      <c r="F286">
        <v>196</v>
      </c>
      <c r="G286">
        <v>286.82</v>
      </c>
      <c r="H286">
        <v>13</v>
      </c>
      <c r="I286">
        <v>1320.49</v>
      </c>
      <c r="J286">
        <v>6.6299999999999998E-2</v>
      </c>
      <c r="K286" s="6">
        <f t="shared" si="4"/>
        <v>6.5376917945296862</v>
      </c>
    </row>
    <row r="287" spans="1:11" x14ac:dyDescent="0.25">
      <c r="A287" s="1">
        <v>45589</v>
      </c>
      <c r="B287" t="s">
        <v>24</v>
      </c>
      <c r="C287" t="s">
        <v>11</v>
      </c>
      <c r="D287" t="s">
        <v>30</v>
      </c>
      <c r="E287">
        <v>21309</v>
      </c>
      <c r="F287">
        <v>449</v>
      </c>
      <c r="G287">
        <v>648.54</v>
      </c>
      <c r="H287">
        <v>28</v>
      </c>
      <c r="I287">
        <v>3132.57</v>
      </c>
      <c r="J287">
        <v>6.2399999999999997E-2</v>
      </c>
      <c r="K287" s="6">
        <f t="shared" si="4"/>
        <v>2.1070909005584495</v>
      </c>
    </row>
    <row r="288" spans="1:11" x14ac:dyDescent="0.25">
      <c r="A288" s="1">
        <v>45589</v>
      </c>
      <c r="B288" t="s">
        <v>24</v>
      </c>
      <c r="C288" t="s">
        <v>13</v>
      </c>
      <c r="D288" t="s">
        <v>29</v>
      </c>
      <c r="E288">
        <v>57699</v>
      </c>
      <c r="F288">
        <v>2892</v>
      </c>
      <c r="G288">
        <v>2769.5</v>
      </c>
      <c r="H288">
        <v>105</v>
      </c>
      <c r="I288">
        <v>11188.47</v>
      </c>
      <c r="J288">
        <v>3.6299999999999999E-2</v>
      </c>
      <c r="K288" s="6">
        <f t="shared" si="4"/>
        <v>5.0122185826444134</v>
      </c>
    </row>
    <row r="289" spans="1:11" x14ac:dyDescent="0.25">
      <c r="A289" s="1">
        <v>45589</v>
      </c>
      <c r="B289" t="s">
        <v>24</v>
      </c>
      <c r="C289" t="s">
        <v>15</v>
      </c>
      <c r="D289" t="s">
        <v>26</v>
      </c>
      <c r="E289">
        <v>3655</v>
      </c>
      <c r="F289">
        <v>187</v>
      </c>
      <c r="G289">
        <v>144.9</v>
      </c>
      <c r="H289">
        <v>18</v>
      </c>
      <c r="I289">
        <v>557.21</v>
      </c>
      <c r="J289">
        <v>9.6299999999999997E-2</v>
      </c>
      <c r="K289" s="6">
        <f t="shared" si="4"/>
        <v>5.1162790697674421</v>
      </c>
    </row>
    <row r="290" spans="1:11" x14ac:dyDescent="0.25">
      <c r="A290" s="1">
        <v>45590</v>
      </c>
      <c r="B290" t="s">
        <v>10</v>
      </c>
      <c r="C290" t="s">
        <v>11</v>
      </c>
      <c r="D290" t="s">
        <v>27</v>
      </c>
      <c r="E290">
        <v>13579</v>
      </c>
      <c r="F290">
        <v>900</v>
      </c>
      <c r="G290">
        <v>587.14</v>
      </c>
      <c r="H290">
        <v>13</v>
      </c>
      <c r="I290">
        <v>2199.06</v>
      </c>
      <c r="J290">
        <v>1.44E-2</v>
      </c>
      <c r="K290" s="6">
        <f t="shared" si="4"/>
        <v>6.6278812872818325</v>
      </c>
    </row>
    <row r="291" spans="1:11" x14ac:dyDescent="0.25">
      <c r="A291" s="1">
        <v>45590</v>
      </c>
      <c r="B291" t="s">
        <v>10</v>
      </c>
      <c r="C291" t="s">
        <v>13</v>
      </c>
      <c r="D291" t="s">
        <v>27</v>
      </c>
      <c r="E291">
        <v>50259</v>
      </c>
      <c r="F291">
        <v>1107</v>
      </c>
      <c r="G291">
        <v>1400.79</v>
      </c>
      <c r="H291">
        <v>124</v>
      </c>
      <c r="I291">
        <v>5499.45</v>
      </c>
      <c r="J291">
        <v>0.112</v>
      </c>
      <c r="K291" s="6">
        <f t="shared" si="4"/>
        <v>2.2025905807915001</v>
      </c>
    </row>
    <row r="292" spans="1:11" x14ac:dyDescent="0.25">
      <c r="A292" s="1">
        <v>45590</v>
      </c>
      <c r="B292" t="s">
        <v>10</v>
      </c>
      <c r="C292" t="s">
        <v>15</v>
      </c>
      <c r="D292" t="s">
        <v>14</v>
      </c>
      <c r="E292">
        <v>7580</v>
      </c>
      <c r="F292">
        <v>247</v>
      </c>
      <c r="G292">
        <v>98.11</v>
      </c>
      <c r="H292">
        <v>18</v>
      </c>
      <c r="I292">
        <v>482.31</v>
      </c>
      <c r="J292">
        <v>7.2900000000000006E-2</v>
      </c>
      <c r="K292" s="6">
        <f t="shared" si="4"/>
        <v>3.2585751978891819</v>
      </c>
    </row>
    <row r="293" spans="1:11" x14ac:dyDescent="0.25">
      <c r="A293" s="1">
        <v>45590</v>
      </c>
      <c r="B293" t="s">
        <v>16</v>
      </c>
      <c r="C293" t="s">
        <v>11</v>
      </c>
      <c r="D293" t="s">
        <v>17</v>
      </c>
      <c r="E293">
        <v>23333</v>
      </c>
      <c r="F293">
        <v>787</v>
      </c>
      <c r="G293">
        <v>872.94</v>
      </c>
      <c r="H293">
        <v>22</v>
      </c>
      <c r="I293">
        <v>3555.02</v>
      </c>
      <c r="J293">
        <v>2.8000000000000001E-2</v>
      </c>
      <c r="K293" s="6">
        <f t="shared" si="4"/>
        <v>3.3729053272189606</v>
      </c>
    </row>
    <row r="294" spans="1:11" x14ac:dyDescent="0.25">
      <c r="A294" s="1">
        <v>45590</v>
      </c>
      <c r="B294" t="s">
        <v>16</v>
      </c>
      <c r="C294" t="s">
        <v>13</v>
      </c>
      <c r="D294" t="s">
        <v>28</v>
      </c>
      <c r="E294">
        <v>56048</v>
      </c>
      <c r="F294">
        <v>1584</v>
      </c>
      <c r="G294">
        <v>3583.59</v>
      </c>
      <c r="H294">
        <v>236</v>
      </c>
      <c r="I294">
        <v>5518.55</v>
      </c>
      <c r="J294">
        <v>0.14899999999999999</v>
      </c>
      <c r="K294" s="6">
        <f t="shared" si="4"/>
        <v>2.8261490151298885</v>
      </c>
    </row>
    <row r="295" spans="1:11" x14ac:dyDescent="0.25">
      <c r="A295" s="1">
        <v>45590</v>
      </c>
      <c r="B295" t="s">
        <v>16</v>
      </c>
      <c r="C295" t="s">
        <v>15</v>
      </c>
      <c r="D295" t="s">
        <v>17</v>
      </c>
      <c r="E295">
        <v>6383</v>
      </c>
      <c r="F295">
        <v>239</v>
      </c>
      <c r="G295">
        <v>303.08999999999997</v>
      </c>
      <c r="H295">
        <v>2</v>
      </c>
      <c r="I295">
        <v>1415.51</v>
      </c>
      <c r="J295">
        <v>8.3999999999999995E-3</v>
      </c>
      <c r="K295" s="6">
        <f t="shared" si="4"/>
        <v>3.7443208522638258</v>
      </c>
    </row>
    <row r="296" spans="1:11" x14ac:dyDescent="0.25">
      <c r="A296" s="1">
        <v>45590</v>
      </c>
      <c r="B296" t="s">
        <v>20</v>
      </c>
      <c r="C296" t="s">
        <v>11</v>
      </c>
      <c r="D296" t="s">
        <v>21</v>
      </c>
      <c r="E296">
        <v>23693</v>
      </c>
      <c r="F296">
        <v>480</v>
      </c>
      <c r="G296">
        <v>1420.71</v>
      </c>
      <c r="H296">
        <v>12</v>
      </c>
      <c r="I296">
        <v>7088.28</v>
      </c>
      <c r="J296">
        <v>2.5000000000000001E-2</v>
      </c>
      <c r="K296" s="6">
        <f t="shared" si="4"/>
        <v>2.0259148271641414</v>
      </c>
    </row>
    <row r="297" spans="1:11" x14ac:dyDescent="0.25">
      <c r="A297" s="1">
        <v>45590</v>
      </c>
      <c r="B297" t="s">
        <v>20</v>
      </c>
      <c r="C297" t="s">
        <v>13</v>
      </c>
      <c r="D297" t="s">
        <v>27</v>
      </c>
      <c r="E297">
        <v>67465</v>
      </c>
      <c r="F297">
        <v>1381</v>
      </c>
      <c r="G297">
        <v>4746.43</v>
      </c>
      <c r="H297">
        <v>114</v>
      </c>
      <c r="I297">
        <v>21509.040000000001</v>
      </c>
      <c r="J297">
        <v>8.2500000000000004E-2</v>
      </c>
      <c r="K297" s="6">
        <f t="shared" si="4"/>
        <v>2.0469873267620247</v>
      </c>
    </row>
    <row r="298" spans="1:11" x14ac:dyDescent="0.25">
      <c r="A298" s="1">
        <v>45590</v>
      </c>
      <c r="B298" t="s">
        <v>20</v>
      </c>
      <c r="C298" t="s">
        <v>15</v>
      </c>
      <c r="D298" t="s">
        <v>22</v>
      </c>
      <c r="E298">
        <v>4444</v>
      </c>
      <c r="F298">
        <v>195</v>
      </c>
      <c r="G298">
        <v>260.97000000000003</v>
      </c>
      <c r="H298">
        <v>11</v>
      </c>
      <c r="I298">
        <v>595.36</v>
      </c>
      <c r="J298">
        <v>5.6399999999999999E-2</v>
      </c>
      <c r="K298" s="6">
        <f t="shared" si="4"/>
        <v>4.3879387938793881</v>
      </c>
    </row>
    <row r="299" spans="1:11" x14ac:dyDescent="0.25">
      <c r="A299" s="1">
        <v>45590</v>
      </c>
      <c r="B299" t="s">
        <v>24</v>
      </c>
      <c r="C299" t="s">
        <v>11</v>
      </c>
      <c r="D299" t="s">
        <v>30</v>
      </c>
      <c r="E299">
        <v>14397</v>
      </c>
      <c r="F299">
        <v>816</v>
      </c>
      <c r="G299">
        <v>861.62</v>
      </c>
      <c r="H299">
        <v>22</v>
      </c>
      <c r="I299">
        <v>3682.13</v>
      </c>
      <c r="J299">
        <v>2.7E-2</v>
      </c>
      <c r="K299" s="6">
        <f t="shared" si="4"/>
        <v>5.6678474682225461</v>
      </c>
    </row>
    <row r="300" spans="1:11" x14ac:dyDescent="0.25">
      <c r="A300" s="1">
        <v>45590</v>
      </c>
      <c r="B300" t="s">
        <v>24</v>
      </c>
      <c r="C300" t="s">
        <v>13</v>
      </c>
      <c r="D300" t="s">
        <v>25</v>
      </c>
      <c r="E300">
        <v>45649</v>
      </c>
      <c r="F300">
        <v>2497</v>
      </c>
      <c r="G300">
        <v>2835.66</v>
      </c>
      <c r="H300">
        <v>105</v>
      </c>
      <c r="I300">
        <v>11146.05</v>
      </c>
      <c r="J300">
        <v>4.2099999999999999E-2</v>
      </c>
      <c r="K300" s="6">
        <f t="shared" si="4"/>
        <v>5.4699993428114526</v>
      </c>
    </row>
    <row r="301" spans="1:11" x14ac:dyDescent="0.25">
      <c r="A301" s="1">
        <v>45590</v>
      </c>
      <c r="B301" t="s">
        <v>24</v>
      </c>
      <c r="C301" t="s">
        <v>15</v>
      </c>
      <c r="D301" t="s">
        <v>29</v>
      </c>
      <c r="E301">
        <v>4761</v>
      </c>
      <c r="F301">
        <v>125</v>
      </c>
      <c r="G301">
        <v>248.72</v>
      </c>
      <c r="H301">
        <v>7</v>
      </c>
      <c r="I301">
        <v>464.33</v>
      </c>
      <c r="J301">
        <v>5.6000000000000001E-2</v>
      </c>
      <c r="K301" s="6">
        <f t="shared" si="4"/>
        <v>2.6254988447805085</v>
      </c>
    </row>
    <row r="302" spans="1:11" x14ac:dyDescent="0.25">
      <c r="A302" s="1">
        <v>45591</v>
      </c>
      <c r="B302" t="s">
        <v>10</v>
      </c>
      <c r="C302" t="s">
        <v>11</v>
      </c>
      <c r="D302" t="s">
        <v>12</v>
      </c>
      <c r="E302">
        <v>24014</v>
      </c>
      <c r="F302">
        <v>827</v>
      </c>
      <c r="G302">
        <v>693.51</v>
      </c>
      <c r="H302">
        <v>35</v>
      </c>
      <c r="I302">
        <v>2595.9299999999998</v>
      </c>
      <c r="J302">
        <v>4.2299999999999997E-2</v>
      </c>
      <c r="K302" s="6">
        <f t="shared" si="4"/>
        <v>3.4438244357458148</v>
      </c>
    </row>
    <row r="303" spans="1:11" x14ac:dyDescent="0.25">
      <c r="A303" s="1">
        <v>45591</v>
      </c>
      <c r="B303" t="s">
        <v>10</v>
      </c>
      <c r="C303" t="s">
        <v>13</v>
      </c>
      <c r="D303" t="s">
        <v>27</v>
      </c>
      <c r="E303">
        <v>44215</v>
      </c>
      <c r="F303">
        <v>1977</v>
      </c>
      <c r="G303">
        <v>2294.41</v>
      </c>
      <c r="H303">
        <v>103</v>
      </c>
      <c r="I303">
        <v>2812.84</v>
      </c>
      <c r="J303">
        <v>5.21E-2</v>
      </c>
      <c r="K303" s="6">
        <f t="shared" si="4"/>
        <v>4.4713332579441367</v>
      </c>
    </row>
    <row r="304" spans="1:11" x14ac:dyDescent="0.25">
      <c r="A304" s="1">
        <v>45591</v>
      </c>
      <c r="B304" t="s">
        <v>10</v>
      </c>
      <c r="C304" t="s">
        <v>15</v>
      </c>
      <c r="D304" t="s">
        <v>12</v>
      </c>
      <c r="E304">
        <v>3929</v>
      </c>
      <c r="F304">
        <v>164</v>
      </c>
      <c r="G304">
        <v>313.81</v>
      </c>
      <c r="H304">
        <v>11</v>
      </c>
      <c r="I304">
        <v>736.64</v>
      </c>
      <c r="J304">
        <v>6.7100000000000007E-2</v>
      </c>
      <c r="K304" s="6">
        <f t="shared" si="4"/>
        <v>4.1740900992618988</v>
      </c>
    </row>
    <row r="305" spans="1:11" x14ac:dyDescent="0.25">
      <c r="A305" s="1">
        <v>45591</v>
      </c>
      <c r="B305" t="s">
        <v>16</v>
      </c>
      <c r="C305" t="s">
        <v>11</v>
      </c>
      <c r="D305" t="s">
        <v>19</v>
      </c>
      <c r="E305">
        <v>18570</v>
      </c>
      <c r="F305">
        <v>668</v>
      </c>
      <c r="G305">
        <v>1131.32</v>
      </c>
      <c r="H305">
        <v>13</v>
      </c>
      <c r="I305">
        <v>4228.41</v>
      </c>
      <c r="J305">
        <v>1.95E-2</v>
      </c>
      <c r="K305" s="6">
        <f t="shared" si="4"/>
        <v>3.5971997845988155</v>
      </c>
    </row>
    <row r="306" spans="1:11" x14ac:dyDescent="0.25">
      <c r="A306" s="1">
        <v>45591</v>
      </c>
      <c r="B306" t="s">
        <v>16</v>
      </c>
      <c r="C306" t="s">
        <v>13</v>
      </c>
      <c r="D306" t="s">
        <v>18</v>
      </c>
      <c r="E306">
        <v>55106</v>
      </c>
      <c r="F306">
        <v>1327</v>
      </c>
      <c r="G306">
        <v>2621.67</v>
      </c>
      <c r="H306">
        <v>168</v>
      </c>
      <c r="I306">
        <v>12342.31</v>
      </c>
      <c r="J306">
        <v>0.12659999999999999</v>
      </c>
      <c r="K306" s="6">
        <f t="shared" si="4"/>
        <v>2.4080862338039415</v>
      </c>
    </row>
    <row r="307" spans="1:11" x14ac:dyDescent="0.25">
      <c r="A307" s="1">
        <v>45591</v>
      </c>
      <c r="B307" t="s">
        <v>16</v>
      </c>
      <c r="C307" t="s">
        <v>15</v>
      </c>
      <c r="D307" t="s">
        <v>28</v>
      </c>
      <c r="E307">
        <v>7654</v>
      </c>
      <c r="F307">
        <v>80</v>
      </c>
      <c r="G307">
        <v>273.55</v>
      </c>
      <c r="H307">
        <v>10</v>
      </c>
      <c r="I307">
        <v>710.32</v>
      </c>
      <c r="J307">
        <v>0.125</v>
      </c>
      <c r="K307" s="6">
        <f t="shared" si="4"/>
        <v>1.0452051215050953</v>
      </c>
    </row>
    <row r="308" spans="1:11" x14ac:dyDescent="0.25">
      <c r="A308" s="1">
        <v>45591</v>
      </c>
      <c r="B308" t="s">
        <v>20</v>
      </c>
      <c r="C308" t="s">
        <v>11</v>
      </c>
      <c r="D308" t="s">
        <v>21</v>
      </c>
      <c r="E308">
        <v>17180</v>
      </c>
      <c r="F308">
        <v>436</v>
      </c>
      <c r="G308">
        <v>873.82</v>
      </c>
      <c r="H308">
        <v>39</v>
      </c>
      <c r="I308">
        <v>3531.45</v>
      </c>
      <c r="J308">
        <v>8.9399999999999993E-2</v>
      </c>
      <c r="K308" s="6">
        <f t="shared" si="4"/>
        <v>2.5378346915017462</v>
      </c>
    </row>
    <row r="309" spans="1:11" x14ac:dyDescent="0.25">
      <c r="A309" s="1">
        <v>45591</v>
      </c>
      <c r="B309" t="s">
        <v>20</v>
      </c>
      <c r="C309" t="s">
        <v>13</v>
      </c>
      <c r="D309" t="s">
        <v>23</v>
      </c>
      <c r="E309">
        <v>62252</v>
      </c>
      <c r="F309">
        <v>2437</v>
      </c>
      <c r="G309">
        <v>3196.94</v>
      </c>
      <c r="H309">
        <v>160</v>
      </c>
      <c r="I309">
        <v>13036.9</v>
      </c>
      <c r="J309">
        <v>6.5699999999999995E-2</v>
      </c>
      <c r="K309" s="6">
        <f t="shared" si="4"/>
        <v>3.9147336631754808</v>
      </c>
    </row>
    <row r="310" spans="1:11" x14ac:dyDescent="0.25">
      <c r="A310" s="1">
        <v>45591</v>
      </c>
      <c r="B310" t="s">
        <v>20</v>
      </c>
      <c r="C310" t="s">
        <v>15</v>
      </c>
      <c r="D310" t="s">
        <v>21</v>
      </c>
      <c r="E310">
        <v>4027</v>
      </c>
      <c r="F310">
        <v>224</v>
      </c>
      <c r="G310">
        <v>314.16000000000003</v>
      </c>
      <c r="H310">
        <v>3</v>
      </c>
      <c r="I310">
        <v>1004.35</v>
      </c>
      <c r="J310">
        <v>1.34E-2</v>
      </c>
      <c r="K310" s="6">
        <f t="shared" si="4"/>
        <v>5.5624534392848268</v>
      </c>
    </row>
    <row r="311" spans="1:11" x14ac:dyDescent="0.25">
      <c r="A311" s="1">
        <v>45591</v>
      </c>
      <c r="B311" t="s">
        <v>24</v>
      </c>
      <c r="C311" t="s">
        <v>11</v>
      </c>
      <c r="D311" t="s">
        <v>25</v>
      </c>
      <c r="E311">
        <v>12559</v>
      </c>
      <c r="F311">
        <v>877</v>
      </c>
      <c r="G311">
        <v>434.65</v>
      </c>
      <c r="H311">
        <v>45</v>
      </c>
      <c r="I311">
        <v>2012.85</v>
      </c>
      <c r="J311">
        <v>5.1299999999999998E-2</v>
      </c>
      <c r="K311" s="6">
        <f t="shared" si="4"/>
        <v>6.9830400509594712</v>
      </c>
    </row>
    <row r="312" spans="1:11" x14ac:dyDescent="0.25">
      <c r="A312" s="1">
        <v>45591</v>
      </c>
      <c r="B312" t="s">
        <v>24</v>
      </c>
      <c r="C312" t="s">
        <v>13</v>
      </c>
      <c r="D312" t="s">
        <v>26</v>
      </c>
      <c r="E312">
        <v>44820</v>
      </c>
      <c r="F312">
        <v>1336</v>
      </c>
      <c r="G312">
        <v>2312.4699999999998</v>
      </c>
      <c r="H312">
        <v>173</v>
      </c>
      <c r="I312">
        <v>6657.59</v>
      </c>
      <c r="J312">
        <v>0.1295</v>
      </c>
      <c r="K312" s="6">
        <f t="shared" si="4"/>
        <v>2.9808121374386434</v>
      </c>
    </row>
    <row r="313" spans="1:11" x14ac:dyDescent="0.25">
      <c r="A313" s="1">
        <v>45591</v>
      </c>
      <c r="B313" t="s">
        <v>24</v>
      </c>
      <c r="C313" t="s">
        <v>15</v>
      </c>
      <c r="D313" t="s">
        <v>26</v>
      </c>
      <c r="E313">
        <v>7872</v>
      </c>
      <c r="F313">
        <v>199</v>
      </c>
      <c r="G313">
        <v>221.09</v>
      </c>
      <c r="H313">
        <v>17</v>
      </c>
      <c r="I313">
        <v>639.58000000000004</v>
      </c>
      <c r="J313">
        <v>8.5400000000000004E-2</v>
      </c>
      <c r="K313" s="6">
        <f t="shared" si="4"/>
        <v>2.5279471544715446</v>
      </c>
    </row>
    <row r="314" spans="1:11" x14ac:dyDescent="0.25">
      <c r="A314" s="1">
        <v>45592</v>
      </c>
      <c r="B314" t="s">
        <v>10</v>
      </c>
      <c r="C314" t="s">
        <v>11</v>
      </c>
      <c r="D314" t="s">
        <v>14</v>
      </c>
      <c r="E314">
        <v>24858</v>
      </c>
      <c r="F314">
        <v>435</v>
      </c>
      <c r="G314">
        <v>915.9</v>
      </c>
      <c r="H314">
        <v>39</v>
      </c>
      <c r="I314">
        <v>3061.73</v>
      </c>
      <c r="J314">
        <v>8.9700000000000002E-2</v>
      </c>
      <c r="K314" s="6">
        <f t="shared" si="4"/>
        <v>1.749939657253198</v>
      </c>
    </row>
    <row r="315" spans="1:11" x14ac:dyDescent="0.25">
      <c r="A315" s="1">
        <v>45592</v>
      </c>
      <c r="B315" t="s">
        <v>10</v>
      </c>
      <c r="C315" t="s">
        <v>13</v>
      </c>
      <c r="D315" t="s">
        <v>12</v>
      </c>
      <c r="E315">
        <v>55196</v>
      </c>
      <c r="F315">
        <v>2481</v>
      </c>
      <c r="G315">
        <v>1087.08</v>
      </c>
      <c r="H315">
        <v>105</v>
      </c>
      <c r="I315">
        <v>4677.1899999999996</v>
      </c>
      <c r="J315">
        <v>4.2299999999999997E-2</v>
      </c>
      <c r="K315" s="6">
        <f t="shared" si="4"/>
        <v>4.494890934125662</v>
      </c>
    </row>
    <row r="316" spans="1:11" x14ac:dyDescent="0.25">
      <c r="A316" s="1">
        <v>45592</v>
      </c>
      <c r="B316" t="s">
        <v>10</v>
      </c>
      <c r="C316" t="s">
        <v>15</v>
      </c>
      <c r="D316" t="s">
        <v>27</v>
      </c>
      <c r="E316">
        <v>6737</v>
      </c>
      <c r="F316">
        <v>68</v>
      </c>
      <c r="G316">
        <v>65.849999999999994</v>
      </c>
      <c r="H316">
        <v>12</v>
      </c>
      <c r="I316">
        <v>254.28</v>
      </c>
      <c r="J316">
        <v>0.17649999999999999</v>
      </c>
      <c r="K316" s="6">
        <f t="shared" si="4"/>
        <v>1.0093513433278907</v>
      </c>
    </row>
    <row r="317" spans="1:11" x14ac:dyDescent="0.25">
      <c r="A317" s="1">
        <v>45592</v>
      </c>
      <c r="B317" t="s">
        <v>16</v>
      </c>
      <c r="C317" t="s">
        <v>11</v>
      </c>
      <c r="D317" t="s">
        <v>19</v>
      </c>
      <c r="E317">
        <v>12261</v>
      </c>
      <c r="F317">
        <v>783</v>
      </c>
      <c r="G317">
        <v>338.08</v>
      </c>
      <c r="H317">
        <v>36</v>
      </c>
      <c r="I317">
        <v>636.91999999999996</v>
      </c>
      <c r="J317">
        <v>4.5999999999999999E-2</v>
      </c>
      <c r="K317" s="6">
        <f t="shared" si="4"/>
        <v>6.3861022755077075</v>
      </c>
    </row>
    <row r="318" spans="1:11" x14ac:dyDescent="0.25">
      <c r="A318" s="1">
        <v>45592</v>
      </c>
      <c r="B318" t="s">
        <v>16</v>
      </c>
      <c r="C318" t="s">
        <v>13</v>
      </c>
      <c r="D318" t="s">
        <v>17</v>
      </c>
      <c r="E318">
        <v>62548</v>
      </c>
      <c r="F318">
        <v>1766</v>
      </c>
      <c r="G318">
        <v>4971.43</v>
      </c>
      <c r="H318">
        <v>137</v>
      </c>
      <c r="I318">
        <v>14439.23</v>
      </c>
      <c r="J318">
        <v>7.7600000000000002E-2</v>
      </c>
      <c r="K318" s="6">
        <f t="shared" si="4"/>
        <v>2.8234316045277228</v>
      </c>
    </row>
    <row r="319" spans="1:11" x14ac:dyDescent="0.25">
      <c r="A319" s="1">
        <v>45592</v>
      </c>
      <c r="B319" t="s">
        <v>16</v>
      </c>
      <c r="C319" t="s">
        <v>15</v>
      </c>
      <c r="D319" t="s">
        <v>18</v>
      </c>
      <c r="E319">
        <v>5077</v>
      </c>
      <c r="F319">
        <v>70</v>
      </c>
      <c r="G319">
        <v>288.95999999999998</v>
      </c>
      <c r="H319">
        <v>18</v>
      </c>
      <c r="I319">
        <v>492.78</v>
      </c>
      <c r="J319">
        <v>0.2571</v>
      </c>
      <c r="K319" s="6">
        <f t="shared" si="4"/>
        <v>1.3787669883789639</v>
      </c>
    </row>
    <row r="320" spans="1:11" x14ac:dyDescent="0.25">
      <c r="A320" s="1">
        <v>45592</v>
      </c>
      <c r="B320" t="s">
        <v>20</v>
      </c>
      <c r="C320" t="s">
        <v>11</v>
      </c>
      <c r="D320" t="s">
        <v>23</v>
      </c>
      <c r="E320">
        <v>13887</v>
      </c>
      <c r="F320">
        <v>482</v>
      </c>
      <c r="G320">
        <v>1491.42</v>
      </c>
      <c r="H320">
        <v>35</v>
      </c>
      <c r="I320">
        <v>4786.8599999999997</v>
      </c>
      <c r="J320">
        <v>7.2599999999999998E-2</v>
      </c>
      <c r="K320" s="6">
        <f t="shared" si="4"/>
        <v>3.4708720385972494</v>
      </c>
    </row>
    <row r="321" spans="1:11" x14ac:dyDescent="0.25">
      <c r="A321" s="1">
        <v>45592</v>
      </c>
      <c r="B321" t="s">
        <v>20</v>
      </c>
      <c r="C321" t="s">
        <v>13</v>
      </c>
      <c r="D321" t="s">
        <v>21</v>
      </c>
      <c r="E321">
        <v>35227</v>
      </c>
      <c r="F321">
        <v>2548</v>
      </c>
      <c r="G321">
        <v>1090.94</v>
      </c>
      <c r="H321">
        <v>116</v>
      </c>
      <c r="I321">
        <v>3228.54</v>
      </c>
      <c r="J321">
        <v>4.5499999999999999E-2</v>
      </c>
      <c r="K321" s="6">
        <f t="shared" si="4"/>
        <v>7.2330882561671448</v>
      </c>
    </row>
    <row r="322" spans="1:11" x14ac:dyDescent="0.25">
      <c r="A322" s="1">
        <v>45592</v>
      </c>
      <c r="B322" t="s">
        <v>20</v>
      </c>
      <c r="C322" t="s">
        <v>15</v>
      </c>
      <c r="D322" t="s">
        <v>27</v>
      </c>
      <c r="E322">
        <v>6357</v>
      </c>
      <c r="F322">
        <v>147</v>
      </c>
      <c r="G322">
        <v>338.18</v>
      </c>
      <c r="H322">
        <v>8</v>
      </c>
      <c r="I322">
        <v>997.76</v>
      </c>
      <c r="J322">
        <v>5.4399999999999997E-2</v>
      </c>
      <c r="K322" s="6">
        <f t="shared" si="4"/>
        <v>2.3124115148655027</v>
      </c>
    </row>
    <row r="323" spans="1:11" x14ac:dyDescent="0.25">
      <c r="A323" s="1">
        <v>45592</v>
      </c>
      <c r="B323" t="s">
        <v>24</v>
      </c>
      <c r="C323" t="s">
        <v>11</v>
      </c>
      <c r="D323" t="s">
        <v>26</v>
      </c>
      <c r="E323">
        <v>19032</v>
      </c>
      <c r="F323">
        <v>493</v>
      </c>
      <c r="G323">
        <v>1424.89</v>
      </c>
      <c r="H323">
        <v>56</v>
      </c>
      <c r="I323">
        <v>5854.68</v>
      </c>
      <c r="J323">
        <v>0.11360000000000001</v>
      </c>
      <c r="K323" s="6">
        <f t="shared" ref="K323:K361" si="5">(F323/E323) *100</f>
        <v>2.5903741067675496</v>
      </c>
    </row>
    <row r="324" spans="1:11" x14ac:dyDescent="0.25">
      <c r="A324" s="1">
        <v>45592</v>
      </c>
      <c r="B324" t="s">
        <v>24</v>
      </c>
      <c r="C324" t="s">
        <v>13</v>
      </c>
      <c r="D324" t="s">
        <v>29</v>
      </c>
      <c r="E324">
        <v>62475</v>
      </c>
      <c r="F324">
        <v>2259</v>
      </c>
      <c r="G324">
        <v>4064.21</v>
      </c>
      <c r="H324">
        <v>44</v>
      </c>
      <c r="I324">
        <v>8593.9</v>
      </c>
      <c r="J324">
        <v>1.95E-2</v>
      </c>
      <c r="K324" s="6">
        <f t="shared" si="5"/>
        <v>3.6158463385354138</v>
      </c>
    </row>
    <row r="325" spans="1:11" x14ac:dyDescent="0.25">
      <c r="A325" s="1">
        <v>45592</v>
      </c>
      <c r="B325" t="s">
        <v>24</v>
      </c>
      <c r="C325" t="s">
        <v>15</v>
      </c>
      <c r="D325" t="s">
        <v>29</v>
      </c>
      <c r="E325">
        <v>2826</v>
      </c>
      <c r="F325">
        <v>202</v>
      </c>
      <c r="G325">
        <v>61.75</v>
      </c>
      <c r="H325">
        <v>20</v>
      </c>
      <c r="I325">
        <v>231.79</v>
      </c>
      <c r="J325">
        <v>9.9000000000000005E-2</v>
      </c>
      <c r="K325" s="6">
        <f t="shared" si="5"/>
        <v>7.1479122434536437</v>
      </c>
    </row>
    <row r="326" spans="1:11" x14ac:dyDescent="0.25">
      <c r="A326" s="1">
        <v>45593</v>
      </c>
      <c r="B326" t="s">
        <v>10</v>
      </c>
      <c r="C326" t="s">
        <v>11</v>
      </c>
      <c r="D326" t="s">
        <v>14</v>
      </c>
      <c r="E326">
        <v>18019</v>
      </c>
      <c r="F326">
        <v>345</v>
      </c>
      <c r="G326">
        <v>782.72</v>
      </c>
      <c r="H326">
        <v>24</v>
      </c>
      <c r="I326">
        <v>2544.69</v>
      </c>
      <c r="J326">
        <v>6.9599999999999995E-2</v>
      </c>
      <c r="K326" s="6">
        <f t="shared" si="5"/>
        <v>1.9146456518119761</v>
      </c>
    </row>
    <row r="327" spans="1:11" x14ac:dyDescent="0.25">
      <c r="A327" s="1">
        <v>45593</v>
      </c>
      <c r="B327" t="s">
        <v>10</v>
      </c>
      <c r="C327" t="s">
        <v>13</v>
      </c>
      <c r="D327" t="s">
        <v>14</v>
      </c>
      <c r="E327">
        <v>44183</v>
      </c>
      <c r="F327">
        <v>2031</v>
      </c>
      <c r="G327">
        <v>4973.93</v>
      </c>
      <c r="H327">
        <v>99</v>
      </c>
      <c r="I327">
        <v>21387.84</v>
      </c>
      <c r="J327">
        <v>4.87E-2</v>
      </c>
      <c r="K327" s="6">
        <f t="shared" si="5"/>
        <v>4.5967906208270151</v>
      </c>
    </row>
    <row r="328" spans="1:11" x14ac:dyDescent="0.25">
      <c r="A328" s="1">
        <v>45593</v>
      </c>
      <c r="B328" t="s">
        <v>10</v>
      </c>
      <c r="C328" t="s">
        <v>15</v>
      </c>
      <c r="D328" t="s">
        <v>17</v>
      </c>
      <c r="E328">
        <v>6730</v>
      </c>
      <c r="F328">
        <v>203</v>
      </c>
      <c r="G328">
        <v>320.39</v>
      </c>
      <c r="H328">
        <v>11</v>
      </c>
      <c r="I328">
        <v>672.89</v>
      </c>
      <c r="J328">
        <v>5.4199999999999998E-2</v>
      </c>
      <c r="K328" s="6">
        <f t="shared" si="5"/>
        <v>3.0163447251114412</v>
      </c>
    </row>
    <row r="329" spans="1:11" x14ac:dyDescent="0.25">
      <c r="A329" s="1">
        <v>45593</v>
      </c>
      <c r="B329" t="s">
        <v>16</v>
      </c>
      <c r="C329" t="s">
        <v>11</v>
      </c>
      <c r="D329" t="s">
        <v>17</v>
      </c>
      <c r="E329">
        <v>27080</v>
      </c>
      <c r="F329">
        <v>526</v>
      </c>
      <c r="G329">
        <v>796.27</v>
      </c>
      <c r="H329">
        <v>27</v>
      </c>
      <c r="I329">
        <v>1139.97</v>
      </c>
      <c r="J329">
        <v>5.1299999999999998E-2</v>
      </c>
      <c r="K329" s="6">
        <f t="shared" si="5"/>
        <v>1.9423929098966026</v>
      </c>
    </row>
    <row r="330" spans="1:11" x14ac:dyDescent="0.25">
      <c r="A330" s="1">
        <v>45593</v>
      </c>
      <c r="B330" t="s">
        <v>16</v>
      </c>
      <c r="C330" t="s">
        <v>13</v>
      </c>
      <c r="D330" t="s">
        <v>17</v>
      </c>
      <c r="E330">
        <v>62997</v>
      </c>
      <c r="F330">
        <v>2138</v>
      </c>
      <c r="G330">
        <v>2982.48</v>
      </c>
      <c r="H330">
        <v>128</v>
      </c>
      <c r="I330">
        <v>14250.37</v>
      </c>
      <c r="J330">
        <v>5.9900000000000002E-2</v>
      </c>
      <c r="K330" s="6">
        <f t="shared" si="5"/>
        <v>3.3938124037652591</v>
      </c>
    </row>
    <row r="331" spans="1:11" x14ac:dyDescent="0.25">
      <c r="A331" s="1">
        <v>45593</v>
      </c>
      <c r="B331" t="s">
        <v>16</v>
      </c>
      <c r="C331" t="s">
        <v>15</v>
      </c>
      <c r="D331" t="s">
        <v>18</v>
      </c>
      <c r="E331">
        <v>6296</v>
      </c>
      <c r="F331">
        <v>131</v>
      </c>
      <c r="G331">
        <v>293.70999999999998</v>
      </c>
      <c r="H331">
        <v>14</v>
      </c>
      <c r="I331">
        <v>518.99</v>
      </c>
      <c r="J331">
        <v>0.1069</v>
      </c>
      <c r="K331" s="6">
        <f t="shared" si="5"/>
        <v>2.0806861499364677</v>
      </c>
    </row>
    <row r="332" spans="1:11" x14ac:dyDescent="0.25">
      <c r="A332" s="1">
        <v>45593</v>
      </c>
      <c r="B332" t="s">
        <v>20</v>
      </c>
      <c r="C332" t="s">
        <v>11</v>
      </c>
      <c r="D332" t="s">
        <v>27</v>
      </c>
      <c r="E332">
        <v>16025</v>
      </c>
      <c r="F332">
        <v>850</v>
      </c>
      <c r="G332">
        <v>868.22</v>
      </c>
      <c r="H332">
        <v>24</v>
      </c>
      <c r="I332">
        <v>2034.06</v>
      </c>
      <c r="J332">
        <v>2.8199999999999999E-2</v>
      </c>
      <c r="K332" s="6">
        <f t="shared" si="5"/>
        <v>5.3042121684867398</v>
      </c>
    </row>
    <row r="333" spans="1:11" x14ac:dyDescent="0.25">
      <c r="A333" s="1">
        <v>45593</v>
      </c>
      <c r="B333" t="s">
        <v>20</v>
      </c>
      <c r="C333" t="s">
        <v>13</v>
      </c>
      <c r="D333" t="s">
        <v>21</v>
      </c>
      <c r="E333">
        <v>65344</v>
      </c>
      <c r="F333">
        <v>2873</v>
      </c>
      <c r="G333">
        <v>1230.5</v>
      </c>
      <c r="H333">
        <v>145</v>
      </c>
      <c r="I333">
        <v>6001.87</v>
      </c>
      <c r="J333">
        <v>5.0500000000000003E-2</v>
      </c>
      <c r="K333" s="6">
        <f t="shared" si="5"/>
        <v>4.396731145935358</v>
      </c>
    </row>
    <row r="334" spans="1:11" x14ac:dyDescent="0.25">
      <c r="A334" s="1">
        <v>45593</v>
      </c>
      <c r="B334" t="s">
        <v>20</v>
      </c>
      <c r="C334" t="s">
        <v>15</v>
      </c>
      <c r="D334" t="s">
        <v>21</v>
      </c>
      <c r="E334">
        <v>5181</v>
      </c>
      <c r="F334">
        <v>112</v>
      </c>
      <c r="G334">
        <v>139.25</v>
      </c>
      <c r="H334">
        <v>11</v>
      </c>
      <c r="I334">
        <v>509.3</v>
      </c>
      <c r="J334">
        <v>9.8199999999999996E-2</v>
      </c>
      <c r="K334" s="6">
        <f t="shared" si="5"/>
        <v>2.1617448369040728</v>
      </c>
    </row>
    <row r="335" spans="1:11" x14ac:dyDescent="0.25">
      <c r="A335" s="1">
        <v>45593</v>
      </c>
      <c r="B335" t="s">
        <v>24</v>
      </c>
      <c r="C335" t="s">
        <v>11</v>
      </c>
      <c r="D335" t="s">
        <v>30</v>
      </c>
      <c r="E335">
        <v>22159</v>
      </c>
      <c r="F335">
        <v>394</v>
      </c>
      <c r="G335">
        <v>942.76</v>
      </c>
      <c r="H335">
        <v>22</v>
      </c>
      <c r="I335">
        <v>1315.94</v>
      </c>
      <c r="J335">
        <v>5.5800000000000002E-2</v>
      </c>
      <c r="K335" s="6">
        <f t="shared" si="5"/>
        <v>1.7780585766505708</v>
      </c>
    </row>
    <row r="336" spans="1:11" x14ac:dyDescent="0.25">
      <c r="A336" s="1">
        <v>45593</v>
      </c>
      <c r="B336" t="s">
        <v>24</v>
      </c>
      <c r="C336" t="s">
        <v>13</v>
      </c>
      <c r="D336" t="s">
        <v>30</v>
      </c>
      <c r="E336">
        <v>37591</v>
      </c>
      <c r="F336">
        <v>2789</v>
      </c>
      <c r="G336">
        <v>1291.1400000000001</v>
      </c>
      <c r="H336">
        <v>245</v>
      </c>
      <c r="I336">
        <v>5286.5</v>
      </c>
      <c r="J336">
        <v>8.7800000000000003E-2</v>
      </c>
      <c r="K336" s="6">
        <f t="shared" si="5"/>
        <v>7.4193290947301218</v>
      </c>
    </row>
    <row r="337" spans="1:11" x14ac:dyDescent="0.25">
      <c r="A337" s="1">
        <v>45593</v>
      </c>
      <c r="B337" t="s">
        <v>24</v>
      </c>
      <c r="C337" t="s">
        <v>15</v>
      </c>
      <c r="D337" t="s">
        <v>26</v>
      </c>
      <c r="E337">
        <v>5927</v>
      </c>
      <c r="F337">
        <v>103</v>
      </c>
      <c r="G337">
        <v>354.32</v>
      </c>
      <c r="H337">
        <v>11</v>
      </c>
      <c r="I337">
        <v>833.4</v>
      </c>
      <c r="J337">
        <v>0.10680000000000001</v>
      </c>
      <c r="K337" s="6">
        <f t="shared" si="5"/>
        <v>1.7378100219335244</v>
      </c>
    </row>
    <row r="338" spans="1:11" x14ac:dyDescent="0.25">
      <c r="A338" s="1">
        <v>45594</v>
      </c>
      <c r="B338" t="s">
        <v>10</v>
      </c>
      <c r="C338" t="s">
        <v>11</v>
      </c>
      <c r="D338" t="s">
        <v>14</v>
      </c>
      <c r="E338">
        <v>16940</v>
      </c>
      <c r="F338">
        <v>494</v>
      </c>
      <c r="G338">
        <v>1454.49</v>
      </c>
      <c r="H338">
        <v>17</v>
      </c>
      <c r="I338">
        <v>5873.44</v>
      </c>
      <c r="J338">
        <v>3.44E-2</v>
      </c>
      <c r="K338" s="6">
        <f t="shared" si="5"/>
        <v>2.9161747343565523</v>
      </c>
    </row>
    <row r="339" spans="1:11" x14ac:dyDescent="0.25">
      <c r="A339" s="1">
        <v>45594</v>
      </c>
      <c r="B339" t="s">
        <v>10</v>
      </c>
      <c r="C339" t="s">
        <v>13</v>
      </c>
      <c r="D339" t="s">
        <v>12</v>
      </c>
      <c r="E339">
        <v>50898</v>
      </c>
      <c r="F339">
        <v>2424</v>
      </c>
      <c r="G339">
        <v>3417.61</v>
      </c>
      <c r="H339">
        <v>92</v>
      </c>
      <c r="I339">
        <v>9252.16</v>
      </c>
      <c r="J339">
        <v>3.7999999999999999E-2</v>
      </c>
      <c r="K339" s="6">
        <f t="shared" si="5"/>
        <v>4.7624661086879643</v>
      </c>
    </row>
    <row r="340" spans="1:11" x14ac:dyDescent="0.25">
      <c r="A340" s="1">
        <v>45594</v>
      </c>
      <c r="B340" t="s">
        <v>10</v>
      </c>
      <c r="C340" t="s">
        <v>15</v>
      </c>
      <c r="D340" t="s">
        <v>27</v>
      </c>
      <c r="E340">
        <v>6522</v>
      </c>
      <c r="F340">
        <v>132</v>
      </c>
      <c r="G340">
        <v>321.43</v>
      </c>
      <c r="H340">
        <v>13</v>
      </c>
      <c r="I340">
        <v>955.21</v>
      </c>
      <c r="J340">
        <v>9.8500000000000004E-2</v>
      </c>
      <c r="K340" s="6">
        <f t="shared" si="5"/>
        <v>2.0239190432382701</v>
      </c>
    </row>
    <row r="341" spans="1:11" x14ac:dyDescent="0.25">
      <c r="A341" s="1">
        <v>45594</v>
      </c>
      <c r="B341" t="s">
        <v>16</v>
      </c>
      <c r="C341" t="s">
        <v>11</v>
      </c>
      <c r="D341" t="s">
        <v>28</v>
      </c>
      <c r="E341">
        <v>20106</v>
      </c>
      <c r="F341">
        <v>567</v>
      </c>
      <c r="G341">
        <v>731.57</v>
      </c>
      <c r="H341">
        <v>41</v>
      </c>
      <c r="I341">
        <v>2173.36</v>
      </c>
      <c r="J341">
        <v>7.2300000000000003E-2</v>
      </c>
      <c r="K341" s="6">
        <f t="shared" si="5"/>
        <v>2.820053715308863</v>
      </c>
    </row>
    <row r="342" spans="1:11" x14ac:dyDescent="0.25">
      <c r="A342" s="1">
        <v>45594</v>
      </c>
      <c r="B342" t="s">
        <v>16</v>
      </c>
      <c r="C342" t="s">
        <v>13</v>
      </c>
      <c r="D342" t="s">
        <v>18</v>
      </c>
      <c r="E342">
        <v>55986</v>
      </c>
      <c r="F342">
        <v>2872</v>
      </c>
      <c r="G342">
        <v>1812.51</v>
      </c>
      <c r="H342">
        <v>120</v>
      </c>
      <c r="I342">
        <v>5025.97</v>
      </c>
      <c r="J342">
        <v>4.1799999999999997E-2</v>
      </c>
      <c r="K342" s="6">
        <f t="shared" si="5"/>
        <v>5.1298538920444399</v>
      </c>
    </row>
    <row r="343" spans="1:11" x14ac:dyDescent="0.25">
      <c r="A343" s="1">
        <v>45594</v>
      </c>
      <c r="B343" t="s">
        <v>16</v>
      </c>
      <c r="C343" t="s">
        <v>15</v>
      </c>
      <c r="D343" t="s">
        <v>17</v>
      </c>
      <c r="E343">
        <v>3195</v>
      </c>
      <c r="F343">
        <v>54</v>
      </c>
      <c r="G343">
        <v>141.27000000000001</v>
      </c>
      <c r="H343">
        <v>19</v>
      </c>
      <c r="I343">
        <v>480.42</v>
      </c>
      <c r="J343">
        <v>0.35189999999999999</v>
      </c>
      <c r="K343" s="6">
        <f t="shared" si="5"/>
        <v>1.6901408450704223</v>
      </c>
    </row>
    <row r="344" spans="1:11" x14ac:dyDescent="0.25">
      <c r="A344" s="1">
        <v>45594</v>
      </c>
      <c r="B344" t="s">
        <v>20</v>
      </c>
      <c r="C344" t="s">
        <v>11</v>
      </c>
      <c r="D344" t="s">
        <v>27</v>
      </c>
      <c r="E344">
        <v>19672</v>
      </c>
      <c r="F344">
        <v>456</v>
      </c>
      <c r="G344">
        <v>535.42999999999995</v>
      </c>
      <c r="H344">
        <v>24</v>
      </c>
      <c r="I344">
        <v>1415.35</v>
      </c>
      <c r="J344">
        <v>5.2600000000000001E-2</v>
      </c>
      <c r="K344" s="6">
        <f t="shared" si="5"/>
        <v>2.318015453436356</v>
      </c>
    </row>
    <row r="345" spans="1:11" x14ac:dyDescent="0.25">
      <c r="A345" s="1">
        <v>45594</v>
      </c>
      <c r="B345" t="s">
        <v>20</v>
      </c>
      <c r="C345" t="s">
        <v>13</v>
      </c>
      <c r="D345" t="s">
        <v>21</v>
      </c>
      <c r="E345">
        <v>67722</v>
      </c>
      <c r="F345">
        <v>2127</v>
      </c>
      <c r="G345">
        <v>3618.43</v>
      </c>
      <c r="H345">
        <v>215</v>
      </c>
      <c r="I345">
        <v>8983.64</v>
      </c>
      <c r="J345">
        <v>0.1011</v>
      </c>
      <c r="K345" s="6">
        <f t="shared" si="5"/>
        <v>3.1407814299636754</v>
      </c>
    </row>
    <row r="346" spans="1:11" x14ac:dyDescent="0.25">
      <c r="A346" s="1">
        <v>45594</v>
      </c>
      <c r="B346" t="s">
        <v>20</v>
      </c>
      <c r="C346" t="s">
        <v>15</v>
      </c>
      <c r="D346" t="s">
        <v>27</v>
      </c>
      <c r="E346">
        <v>7927</v>
      </c>
      <c r="F346">
        <v>214</v>
      </c>
      <c r="G346">
        <v>308.86</v>
      </c>
      <c r="H346">
        <v>15</v>
      </c>
      <c r="I346">
        <v>568.08000000000004</v>
      </c>
      <c r="J346">
        <v>7.0099999999999996E-2</v>
      </c>
      <c r="K346" s="6">
        <f t="shared" si="5"/>
        <v>2.6996341617257475</v>
      </c>
    </row>
    <row r="347" spans="1:11" x14ac:dyDescent="0.25">
      <c r="A347" s="1">
        <v>45594</v>
      </c>
      <c r="B347" t="s">
        <v>24</v>
      </c>
      <c r="C347" t="s">
        <v>11</v>
      </c>
      <c r="D347" t="s">
        <v>25</v>
      </c>
      <c r="E347">
        <v>15546</v>
      </c>
      <c r="F347">
        <v>443</v>
      </c>
      <c r="G347">
        <v>1164.3800000000001</v>
      </c>
      <c r="H347">
        <v>41</v>
      </c>
      <c r="I347">
        <v>2211.6</v>
      </c>
      <c r="J347">
        <v>9.2600000000000002E-2</v>
      </c>
      <c r="K347" s="6">
        <f t="shared" si="5"/>
        <v>2.8496076161070372</v>
      </c>
    </row>
    <row r="348" spans="1:11" x14ac:dyDescent="0.25">
      <c r="A348" s="1">
        <v>45594</v>
      </c>
      <c r="B348" t="s">
        <v>24</v>
      </c>
      <c r="C348" t="s">
        <v>13</v>
      </c>
      <c r="D348" t="s">
        <v>29</v>
      </c>
      <c r="E348">
        <v>69337</v>
      </c>
      <c r="F348">
        <v>1069</v>
      </c>
      <c r="G348">
        <v>4356.2700000000004</v>
      </c>
      <c r="H348">
        <v>59</v>
      </c>
      <c r="I348">
        <v>20874</v>
      </c>
      <c r="J348">
        <v>5.5199999999999999E-2</v>
      </c>
      <c r="K348" s="6">
        <f t="shared" si="5"/>
        <v>1.5417453884650332</v>
      </c>
    </row>
    <row r="349" spans="1:11" x14ac:dyDescent="0.25">
      <c r="A349" s="1">
        <v>45594</v>
      </c>
      <c r="B349" t="s">
        <v>24</v>
      </c>
      <c r="C349" t="s">
        <v>15</v>
      </c>
      <c r="D349" t="s">
        <v>29</v>
      </c>
      <c r="E349">
        <v>2052</v>
      </c>
      <c r="F349">
        <v>155</v>
      </c>
      <c r="G349">
        <v>98.12</v>
      </c>
      <c r="H349">
        <v>8</v>
      </c>
      <c r="I349">
        <v>143.09</v>
      </c>
      <c r="J349">
        <v>5.16E-2</v>
      </c>
      <c r="K349" s="6">
        <f t="shared" si="5"/>
        <v>7.5536062378167639</v>
      </c>
    </row>
    <row r="350" spans="1:11" x14ac:dyDescent="0.25">
      <c r="A350" s="1">
        <v>45595</v>
      </c>
      <c r="B350" t="s">
        <v>10</v>
      </c>
      <c r="C350" t="s">
        <v>11</v>
      </c>
      <c r="D350" t="s">
        <v>27</v>
      </c>
      <c r="E350">
        <v>10299</v>
      </c>
      <c r="F350">
        <v>523</v>
      </c>
      <c r="G350">
        <v>906.88</v>
      </c>
      <c r="H350">
        <v>33</v>
      </c>
      <c r="I350">
        <v>1296.58</v>
      </c>
      <c r="J350">
        <v>6.3100000000000003E-2</v>
      </c>
      <c r="K350" s="6">
        <f t="shared" si="5"/>
        <v>5.0781629284396539</v>
      </c>
    </row>
    <row r="351" spans="1:11" x14ac:dyDescent="0.25">
      <c r="A351" s="1">
        <v>45595</v>
      </c>
      <c r="B351" t="s">
        <v>10</v>
      </c>
      <c r="C351" t="s">
        <v>13</v>
      </c>
      <c r="D351" t="s">
        <v>12</v>
      </c>
      <c r="E351">
        <v>66972</v>
      </c>
      <c r="F351">
        <v>1032</v>
      </c>
      <c r="G351">
        <v>1026.45</v>
      </c>
      <c r="H351">
        <v>181</v>
      </c>
      <c r="I351">
        <v>2836.17</v>
      </c>
      <c r="J351">
        <v>0.1754</v>
      </c>
      <c r="K351" s="6">
        <f t="shared" si="5"/>
        <v>1.5409424834259093</v>
      </c>
    </row>
    <row r="352" spans="1:11" x14ac:dyDescent="0.25">
      <c r="A352" s="1">
        <v>45595</v>
      </c>
      <c r="B352" t="s">
        <v>10</v>
      </c>
      <c r="C352" t="s">
        <v>15</v>
      </c>
      <c r="D352" t="s">
        <v>14</v>
      </c>
      <c r="E352">
        <v>6336</v>
      </c>
      <c r="F352">
        <v>234</v>
      </c>
      <c r="G352">
        <v>146.16</v>
      </c>
      <c r="H352">
        <v>10</v>
      </c>
      <c r="I352">
        <v>184.91</v>
      </c>
      <c r="J352">
        <v>4.2700000000000002E-2</v>
      </c>
      <c r="K352" s="6">
        <f t="shared" si="5"/>
        <v>3.6931818181818183</v>
      </c>
    </row>
    <row r="353" spans="1:11" x14ac:dyDescent="0.25">
      <c r="A353" s="1">
        <v>45595</v>
      </c>
      <c r="B353" t="s">
        <v>16</v>
      </c>
      <c r="C353" t="s">
        <v>11</v>
      </c>
      <c r="D353" t="s">
        <v>18</v>
      </c>
      <c r="E353">
        <v>15874</v>
      </c>
      <c r="F353">
        <v>409</v>
      </c>
      <c r="G353">
        <v>1401.66</v>
      </c>
      <c r="H353">
        <v>43</v>
      </c>
      <c r="I353">
        <v>2475.0700000000002</v>
      </c>
      <c r="J353">
        <v>0.1051</v>
      </c>
      <c r="K353" s="6">
        <f t="shared" si="5"/>
        <v>2.5765402545042209</v>
      </c>
    </row>
    <row r="354" spans="1:11" x14ac:dyDescent="0.25">
      <c r="A354" s="1">
        <v>45595</v>
      </c>
      <c r="B354" t="s">
        <v>16</v>
      </c>
      <c r="C354" t="s">
        <v>13</v>
      </c>
      <c r="D354" t="s">
        <v>17</v>
      </c>
      <c r="E354">
        <v>69501</v>
      </c>
      <c r="F354">
        <v>1516</v>
      </c>
      <c r="G354">
        <v>4260.8599999999997</v>
      </c>
      <c r="H354">
        <v>108</v>
      </c>
      <c r="I354">
        <v>17984.060000000001</v>
      </c>
      <c r="J354">
        <v>7.1199999999999999E-2</v>
      </c>
      <c r="K354" s="6">
        <f t="shared" si="5"/>
        <v>2.18126357894131</v>
      </c>
    </row>
    <row r="355" spans="1:11" x14ac:dyDescent="0.25">
      <c r="A355" s="1">
        <v>45595</v>
      </c>
      <c r="B355" t="s">
        <v>16</v>
      </c>
      <c r="C355" t="s">
        <v>15</v>
      </c>
      <c r="D355" t="s">
        <v>19</v>
      </c>
      <c r="E355">
        <v>5056</v>
      </c>
      <c r="F355">
        <v>153</v>
      </c>
      <c r="G355">
        <v>210.65</v>
      </c>
      <c r="H355">
        <v>8</v>
      </c>
      <c r="I355">
        <v>1045.43</v>
      </c>
      <c r="J355">
        <v>5.2299999999999999E-2</v>
      </c>
      <c r="K355" s="6">
        <f t="shared" si="5"/>
        <v>3.0261075949367089</v>
      </c>
    </row>
    <row r="356" spans="1:11" x14ac:dyDescent="0.25">
      <c r="A356" s="1">
        <v>45595</v>
      </c>
      <c r="B356" t="s">
        <v>20</v>
      </c>
      <c r="C356" t="s">
        <v>11</v>
      </c>
      <c r="D356" t="s">
        <v>21</v>
      </c>
      <c r="E356">
        <v>19829</v>
      </c>
      <c r="F356">
        <v>382</v>
      </c>
      <c r="G356">
        <v>1084.48</v>
      </c>
      <c r="H356">
        <v>51</v>
      </c>
      <c r="I356">
        <v>4431.6499999999996</v>
      </c>
      <c r="J356">
        <v>0.13350000000000001</v>
      </c>
      <c r="K356" s="6">
        <f t="shared" si="5"/>
        <v>1.9264713298703919</v>
      </c>
    </row>
    <row r="357" spans="1:11" x14ac:dyDescent="0.25">
      <c r="A357" s="1">
        <v>45595</v>
      </c>
      <c r="B357" t="s">
        <v>20</v>
      </c>
      <c r="C357" t="s">
        <v>13</v>
      </c>
      <c r="D357" t="s">
        <v>22</v>
      </c>
      <c r="E357">
        <v>61560</v>
      </c>
      <c r="F357">
        <v>1776</v>
      </c>
      <c r="G357">
        <v>2508.6799999999998</v>
      </c>
      <c r="H357">
        <v>161</v>
      </c>
      <c r="I357">
        <v>3545.36</v>
      </c>
      <c r="J357">
        <v>9.0700000000000003E-2</v>
      </c>
      <c r="K357" s="6">
        <f t="shared" si="5"/>
        <v>2.8849902534113059</v>
      </c>
    </row>
    <row r="358" spans="1:11" x14ac:dyDescent="0.25">
      <c r="A358" s="1">
        <v>45595</v>
      </c>
      <c r="B358" t="s">
        <v>20</v>
      </c>
      <c r="C358" t="s">
        <v>15</v>
      </c>
      <c r="D358" t="s">
        <v>22</v>
      </c>
      <c r="E358">
        <v>7757</v>
      </c>
      <c r="F358">
        <v>93</v>
      </c>
      <c r="G358">
        <v>78.94</v>
      </c>
      <c r="H358">
        <v>14</v>
      </c>
      <c r="I358">
        <v>288.18</v>
      </c>
      <c r="J358">
        <v>0.15049999999999999</v>
      </c>
      <c r="K358" s="6">
        <f t="shared" si="5"/>
        <v>1.1989171071290448</v>
      </c>
    </row>
    <row r="359" spans="1:11" x14ac:dyDescent="0.25">
      <c r="A359" s="1">
        <v>45595</v>
      </c>
      <c r="B359" t="s">
        <v>24</v>
      </c>
      <c r="C359" t="s">
        <v>11</v>
      </c>
      <c r="D359" t="s">
        <v>25</v>
      </c>
      <c r="E359">
        <v>28541</v>
      </c>
      <c r="F359">
        <v>397</v>
      </c>
      <c r="G359">
        <v>1373.75</v>
      </c>
      <c r="H359">
        <v>12</v>
      </c>
      <c r="I359">
        <v>2847.94</v>
      </c>
      <c r="J359">
        <v>3.0200000000000001E-2</v>
      </c>
      <c r="K359" s="6">
        <f t="shared" si="5"/>
        <v>1.3909813951858729</v>
      </c>
    </row>
    <row r="360" spans="1:11" x14ac:dyDescent="0.25">
      <c r="A360" s="1">
        <v>45595</v>
      </c>
      <c r="B360" t="s">
        <v>24</v>
      </c>
      <c r="C360" t="s">
        <v>13</v>
      </c>
      <c r="D360" t="s">
        <v>30</v>
      </c>
      <c r="E360">
        <v>52766</v>
      </c>
      <c r="F360">
        <v>1095</v>
      </c>
      <c r="G360">
        <v>4696.6400000000003</v>
      </c>
      <c r="H360">
        <v>215</v>
      </c>
      <c r="I360">
        <v>22155.09</v>
      </c>
      <c r="J360">
        <v>0.1963</v>
      </c>
      <c r="K360" s="6">
        <f t="shared" si="5"/>
        <v>2.0751999393548877</v>
      </c>
    </row>
    <row r="361" spans="1:11" x14ac:dyDescent="0.25">
      <c r="A361" s="1">
        <v>45595</v>
      </c>
      <c r="B361" t="s">
        <v>24</v>
      </c>
      <c r="C361" t="s">
        <v>15</v>
      </c>
      <c r="D361" t="s">
        <v>29</v>
      </c>
      <c r="E361">
        <v>3469</v>
      </c>
      <c r="F361">
        <v>130</v>
      </c>
      <c r="G361">
        <v>55.48</v>
      </c>
      <c r="H361">
        <v>7</v>
      </c>
      <c r="I361">
        <v>190.34</v>
      </c>
      <c r="J361">
        <v>5.3800000000000001E-2</v>
      </c>
      <c r="K361" s="6">
        <f t="shared" si="5"/>
        <v>3.7474776592678003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9948A-7C17-4D50-9BAA-E11D01F1249F}">
  <dimension ref="B4:K25"/>
  <sheetViews>
    <sheetView tabSelected="1" workbookViewId="0">
      <selection activeCell="H4" sqref="H4"/>
    </sheetView>
  </sheetViews>
  <sheetFormatPr defaultRowHeight="15" x14ac:dyDescent="0.25"/>
  <cols>
    <col min="2" max="2" width="25.85546875" bestFit="1" customWidth="1"/>
    <col min="3" max="3" width="18.5703125" bestFit="1" customWidth="1"/>
    <col min="4" max="4" width="12.5703125" bestFit="1" customWidth="1"/>
    <col min="5" max="5" width="14.42578125" bestFit="1" customWidth="1"/>
    <col min="10" max="10" width="25.85546875" bestFit="1" customWidth="1"/>
    <col min="11" max="11" width="18.5703125" bestFit="1" customWidth="1"/>
  </cols>
  <sheetData>
    <row r="4" spans="2:11" x14ac:dyDescent="0.25">
      <c r="B4" s="3" t="s">
        <v>31</v>
      </c>
      <c r="C4" t="s">
        <v>33</v>
      </c>
      <c r="D4" t="s">
        <v>34</v>
      </c>
      <c r="E4" t="s">
        <v>36</v>
      </c>
      <c r="J4" s="3" t="s">
        <v>31</v>
      </c>
      <c r="K4" t="s">
        <v>33</v>
      </c>
    </row>
    <row r="5" spans="2:11" x14ac:dyDescent="0.25">
      <c r="B5" s="4" t="s">
        <v>16</v>
      </c>
      <c r="C5" s="10">
        <v>2399976</v>
      </c>
      <c r="D5" s="11">
        <v>85527</v>
      </c>
      <c r="E5" s="8">
        <v>3.4757504842146352</v>
      </c>
      <c r="J5" s="4" t="s">
        <v>16</v>
      </c>
      <c r="K5" s="5">
        <v>2399976</v>
      </c>
    </row>
    <row r="6" spans="2:11" x14ac:dyDescent="0.25">
      <c r="B6" s="4" t="s">
        <v>10</v>
      </c>
      <c r="C6" s="10">
        <v>2295610</v>
      </c>
      <c r="D6" s="11">
        <v>83509</v>
      </c>
      <c r="E6" s="8">
        <v>3.5352239906761231</v>
      </c>
      <c r="J6" s="4" t="s">
        <v>10</v>
      </c>
      <c r="K6" s="5">
        <v>2295610</v>
      </c>
    </row>
    <row r="7" spans="2:11" x14ac:dyDescent="0.25">
      <c r="B7" s="4" t="s">
        <v>20</v>
      </c>
      <c r="C7" s="9">
        <v>2427663</v>
      </c>
      <c r="D7" s="11">
        <v>84915</v>
      </c>
      <c r="E7" s="8">
        <v>3.4837240813460615</v>
      </c>
      <c r="J7" s="4" t="s">
        <v>20</v>
      </c>
      <c r="K7" s="5">
        <v>2427663</v>
      </c>
    </row>
    <row r="8" spans="2:11" x14ac:dyDescent="0.25">
      <c r="B8" s="4" t="s">
        <v>24</v>
      </c>
      <c r="C8" s="10">
        <v>2305688</v>
      </c>
      <c r="D8" s="11">
        <v>80865</v>
      </c>
      <c r="E8" s="7">
        <v>3.8468193620060296</v>
      </c>
      <c r="J8" s="4" t="s">
        <v>24</v>
      </c>
      <c r="K8" s="5">
        <v>2305688</v>
      </c>
    </row>
    <row r="9" spans="2:11" x14ac:dyDescent="0.25">
      <c r="B9" s="4" t="s">
        <v>32</v>
      </c>
      <c r="C9" s="5">
        <v>9428937</v>
      </c>
      <c r="D9" s="5">
        <v>334816</v>
      </c>
      <c r="E9" s="6">
        <v>3.5853794795607126</v>
      </c>
      <c r="J9" s="4" t="s">
        <v>32</v>
      </c>
      <c r="K9" s="5">
        <v>9428937</v>
      </c>
    </row>
    <row r="13" spans="2:11" x14ac:dyDescent="0.25">
      <c r="B13" s="3" t="s">
        <v>31</v>
      </c>
      <c r="C13" t="s">
        <v>33</v>
      </c>
      <c r="D13" t="s">
        <v>34</v>
      </c>
      <c r="E13" t="s">
        <v>36</v>
      </c>
      <c r="J13" s="3" t="s">
        <v>31</v>
      </c>
      <c r="K13" t="s">
        <v>36</v>
      </c>
    </row>
    <row r="14" spans="2:11" x14ac:dyDescent="0.25">
      <c r="B14" s="4" t="s">
        <v>11</v>
      </c>
      <c r="C14" s="5">
        <v>2365791</v>
      </c>
      <c r="D14" s="5">
        <v>73204</v>
      </c>
      <c r="E14" s="6">
        <v>3.3835292219296624</v>
      </c>
      <c r="J14" s="4" t="s">
        <v>16</v>
      </c>
      <c r="K14" s="6">
        <v>3.4757504842146352</v>
      </c>
    </row>
    <row r="15" spans="2:11" x14ac:dyDescent="0.25">
      <c r="B15" s="4" t="s">
        <v>13</v>
      </c>
      <c r="C15" s="5">
        <v>6461055</v>
      </c>
      <c r="D15" s="5">
        <v>243346</v>
      </c>
      <c r="E15" s="7">
        <v>3.9132595363794223</v>
      </c>
      <c r="J15" s="4" t="s">
        <v>10</v>
      </c>
      <c r="K15" s="6">
        <v>3.5352239906761231</v>
      </c>
    </row>
    <row r="16" spans="2:11" x14ac:dyDescent="0.25">
      <c r="B16" s="4" t="s">
        <v>15</v>
      </c>
      <c r="C16" s="5">
        <v>602091</v>
      </c>
      <c r="D16" s="5">
        <v>18266</v>
      </c>
      <c r="E16" s="6">
        <v>3.4593496803730526</v>
      </c>
      <c r="J16" s="4" t="s">
        <v>20</v>
      </c>
      <c r="K16" s="6">
        <v>3.4837240813460615</v>
      </c>
    </row>
    <row r="17" spans="2:11" x14ac:dyDescent="0.25">
      <c r="B17" s="4" t="s">
        <v>32</v>
      </c>
      <c r="C17" s="5">
        <v>9428937</v>
      </c>
      <c r="D17" s="5">
        <v>334816</v>
      </c>
      <c r="E17" s="6">
        <v>3.5853794795607148</v>
      </c>
      <c r="J17" s="4" t="s">
        <v>24</v>
      </c>
      <c r="K17" s="6">
        <v>3.8468193620060296</v>
      </c>
    </row>
    <row r="18" spans="2:11" x14ac:dyDescent="0.25">
      <c r="J18" s="4" t="s">
        <v>32</v>
      </c>
      <c r="K18" s="6">
        <v>3.5853794795607126</v>
      </c>
    </row>
    <row r="21" spans="2:11" x14ac:dyDescent="0.25">
      <c r="J21" s="3" t="s">
        <v>31</v>
      </c>
      <c r="K21" t="s">
        <v>36</v>
      </c>
    </row>
    <row r="22" spans="2:11" x14ac:dyDescent="0.25">
      <c r="J22" s="4" t="s">
        <v>11</v>
      </c>
      <c r="K22" s="6">
        <v>3.3835292219296624</v>
      </c>
    </row>
    <row r="23" spans="2:11" x14ac:dyDescent="0.25">
      <c r="J23" s="4" t="s">
        <v>13</v>
      </c>
      <c r="K23" s="6">
        <v>3.9132595363794223</v>
      </c>
    </row>
    <row r="24" spans="2:11" x14ac:dyDescent="0.25">
      <c r="J24" s="4" t="s">
        <v>15</v>
      </c>
      <c r="K24" s="6">
        <v>3.4593496803730526</v>
      </c>
    </row>
    <row r="25" spans="2:11" x14ac:dyDescent="0.25">
      <c r="J25" s="4" t="s">
        <v>32</v>
      </c>
      <c r="K25" s="6">
        <v>3.5853794795607148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D160-D786-4F77-86E9-96A9DB59E195}">
  <dimension ref="V9:V11"/>
  <sheetViews>
    <sheetView showGridLines="0" workbookViewId="0">
      <selection activeCell="Q16" sqref="Q16"/>
    </sheetView>
  </sheetViews>
  <sheetFormatPr defaultRowHeight="15" x14ac:dyDescent="0.25"/>
  <sheetData>
    <row r="9" spans="22:22" x14ac:dyDescent="0.25">
      <c r="V9">
        <f>GETPIVOTDATA("Sum of Impressions", 'Pivot tables'!$B$4)</f>
        <v>9428937</v>
      </c>
    </row>
    <row r="10" spans="22:22" x14ac:dyDescent="0.25">
      <c r="V10">
        <f>GETPIVOTDATA("Sum of Clicks",'Pivot tables'!$C$4)</f>
        <v>334816</v>
      </c>
    </row>
    <row r="11" spans="22:22" x14ac:dyDescent="0.25">
      <c r="V11" s="6">
        <f>GETPIVOTDATA("Average of CTR",'Pivot tables'!$D$4)</f>
        <v>3.5853794795607126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Engr Noman Mahmood</dc:creator>
  <cp:lastModifiedBy>Engr Noman Mahmood</cp:lastModifiedBy>
  <dcterms:created xsi:type="dcterms:W3CDTF">2025-11-20T14:58:52Z</dcterms:created>
  <dcterms:modified xsi:type="dcterms:W3CDTF">2025-11-21T17:23:01Z</dcterms:modified>
</cp:coreProperties>
</file>